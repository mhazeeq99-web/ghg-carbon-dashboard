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0.203\Esh\08 GHG PROJECT\GHG INVENTORY\CARBON FOOTPRINT DATA\SCOPE 2\"/>
    </mc:Choice>
  </mc:AlternateContent>
  <bookViews>
    <workbookView xWindow="0" yWindow="0" windowWidth="20490" windowHeight="6555"/>
  </bookViews>
  <sheets>
    <sheet name="Electricity" sheetId="1" r:id="rId1"/>
  </sheets>
  <definedNames>
    <definedName name="_xlnm._FilterDatabase" localSheetId="0" hidden="1">Electricity!$B$24:$Q$37</definedName>
    <definedName name="_xlnm.Print_Area" localSheetId="0">Electricity!$A$1:$R$115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2" i="1" l="1"/>
  <c r="J103" i="1"/>
  <c r="J104" i="1"/>
  <c r="J105" i="1"/>
  <c r="J106" i="1"/>
  <c r="J107" i="1"/>
  <c r="J108" i="1"/>
  <c r="J109" i="1"/>
  <c r="J110" i="1"/>
  <c r="J111" i="1"/>
  <c r="J112" i="1"/>
  <c r="J113" i="1"/>
  <c r="K103" i="1"/>
  <c r="K104" i="1"/>
  <c r="K105" i="1"/>
  <c r="K106" i="1"/>
  <c r="K107" i="1"/>
  <c r="K108" i="1"/>
  <c r="K109" i="1"/>
  <c r="K110" i="1"/>
  <c r="K111" i="1"/>
  <c r="K112" i="1"/>
  <c r="K113" i="1"/>
  <c r="K102" i="1"/>
  <c r="K83" i="1"/>
  <c r="K84" i="1"/>
  <c r="K85" i="1"/>
  <c r="K86" i="1"/>
  <c r="K87" i="1"/>
  <c r="K88" i="1"/>
  <c r="K89" i="1"/>
  <c r="K90" i="1"/>
  <c r="K91" i="1"/>
  <c r="K92" i="1"/>
  <c r="K93" i="1"/>
  <c r="K94" i="1"/>
  <c r="R113" i="1" l="1"/>
  <c r="Q113" i="1"/>
  <c r="P113" i="1"/>
  <c r="O113" i="1"/>
  <c r="N113" i="1"/>
  <c r="M113" i="1"/>
  <c r="L113" i="1"/>
  <c r="I113" i="1"/>
  <c r="R112" i="1"/>
  <c r="Q112" i="1"/>
  <c r="P112" i="1"/>
  <c r="O112" i="1"/>
  <c r="N112" i="1"/>
  <c r="M112" i="1"/>
  <c r="L112" i="1"/>
  <c r="I112" i="1"/>
  <c r="R111" i="1"/>
  <c r="Q111" i="1"/>
  <c r="P111" i="1"/>
  <c r="O111" i="1"/>
  <c r="N111" i="1"/>
  <c r="M111" i="1"/>
  <c r="L111" i="1"/>
  <c r="I111" i="1"/>
  <c r="R110" i="1"/>
  <c r="Q110" i="1"/>
  <c r="P110" i="1"/>
  <c r="O110" i="1"/>
  <c r="N110" i="1"/>
  <c r="M110" i="1"/>
  <c r="L110" i="1"/>
  <c r="I110" i="1"/>
  <c r="R109" i="1"/>
  <c r="Q109" i="1"/>
  <c r="P109" i="1"/>
  <c r="O109" i="1"/>
  <c r="N109" i="1"/>
  <c r="M109" i="1"/>
  <c r="L109" i="1"/>
  <c r="I109" i="1"/>
  <c r="R108" i="1"/>
  <c r="Q108" i="1"/>
  <c r="P108" i="1"/>
  <c r="O108" i="1"/>
  <c r="N108" i="1"/>
  <c r="M108" i="1"/>
  <c r="L108" i="1"/>
  <c r="I108" i="1"/>
  <c r="R107" i="1"/>
  <c r="Q107" i="1"/>
  <c r="P107" i="1"/>
  <c r="O107" i="1"/>
  <c r="N107" i="1"/>
  <c r="M107" i="1"/>
  <c r="L107" i="1"/>
  <c r="I107" i="1"/>
  <c r="R106" i="1"/>
  <c r="Q106" i="1"/>
  <c r="P106" i="1"/>
  <c r="O106" i="1"/>
  <c r="N106" i="1"/>
  <c r="M106" i="1"/>
  <c r="L106" i="1"/>
  <c r="I106" i="1"/>
  <c r="R105" i="1"/>
  <c r="Q105" i="1"/>
  <c r="P105" i="1"/>
  <c r="O105" i="1"/>
  <c r="N105" i="1"/>
  <c r="M105" i="1"/>
  <c r="L105" i="1"/>
  <c r="I105" i="1"/>
  <c r="R104" i="1"/>
  <c r="Q104" i="1"/>
  <c r="P104" i="1"/>
  <c r="O104" i="1"/>
  <c r="N104" i="1"/>
  <c r="M104" i="1"/>
  <c r="L104" i="1"/>
  <c r="I104" i="1"/>
  <c r="R103" i="1"/>
  <c r="Q103" i="1"/>
  <c r="P103" i="1"/>
  <c r="O103" i="1"/>
  <c r="N103" i="1"/>
  <c r="M103" i="1"/>
  <c r="L103" i="1"/>
  <c r="I103" i="1"/>
  <c r="R102" i="1"/>
  <c r="Q102" i="1"/>
  <c r="P102" i="1"/>
  <c r="O102" i="1"/>
  <c r="N102" i="1"/>
  <c r="M102" i="1"/>
  <c r="L102" i="1"/>
  <c r="I102" i="1"/>
  <c r="R84" i="1"/>
  <c r="R85" i="1"/>
  <c r="R86" i="1"/>
  <c r="R87" i="1"/>
  <c r="R88" i="1"/>
  <c r="R89" i="1"/>
  <c r="R90" i="1"/>
  <c r="R91" i="1"/>
  <c r="R92" i="1"/>
  <c r="R93" i="1"/>
  <c r="R94" i="1"/>
  <c r="R83" i="1"/>
  <c r="Q84" i="1"/>
  <c r="Q85" i="1"/>
  <c r="Q86" i="1"/>
  <c r="Q87" i="1"/>
  <c r="Q88" i="1"/>
  <c r="Q89" i="1"/>
  <c r="Q90" i="1"/>
  <c r="Q91" i="1"/>
  <c r="Q92" i="1"/>
  <c r="Q93" i="1"/>
  <c r="Q94" i="1"/>
  <c r="Q83" i="1"/>
  <c r="P84" i="1"/>
  <c r="P85" i="1"/>
  <c r="P86" i="1"/>
  <c r="P87" i="1"/>
  <c r="P88" i="1"/>
  <c r="P89" i="1"/>
  <c r="P90" i="1"/>
  <c r="P91" i="1"/>
  <c r="P92" i="1"/>
  <c r="P93" i="1"/>
  <c r="P94" i="1"/>
  <c r="P83" i="1"/>
  <c r="O84" i="1"/>
  <c r="O85" i="1"/>
  <c r="O86" i="1"/>
  <c r="O87" i="1"/>
  <c r="O88" i="1"/>
  <c r="O89" i="1"/>
  <c r="O90" i="1"/>
  <c r="O91" i="1"/>
  <c r="O92" i="1"/>
  <c r="O93" i="1"/>
  <c r="O94" i="1"/>
  <c r="O83" i="1"/>
  <c r="N84" i="1"/>
  <c r="N85" i="1"/>
  <c r="N86" i="1"/>
  <c r="N87" i="1"/>
  <c r="N88" i="1"/>
  <c r="N89" i="1"/>
  <c r="N90" i="1"/>
  <c r="N91" i="1"/>
  <c r="N92" i="1"/>
  <c r="N93" i="1"/>
  <c r="N94" i="1"/>
  <c r="N83" i="1"/>
  <c r="I84" i="1"/>
  <c r="I85" i="1"/>
  <c r="I86" i="1"/>
  <c r="I87" i="1"/>
  <c r="I88" i="1"/>
  <c r="I89" i="1"/>
  <c r="I90" i="1"/>
  <c r="I91" i="1"/>
  <c r="I92" i="1"/>
  <c r="I93" i="1"/>
  <c r="I94" i="1"/>
  <c r="I83" i="1"/>
  <c r="J84" i="1"/>
  <c r="J85" i="1"/>
  <c r="J86" i="1"/>
  <c r="J87" i="1"/>
  <c r="J88" i="1"/>
  <c r="J89" i="1"/>
  <c r="J90" i="1"/>
  <c r="J91" i="1"/>
  <c r="J92" i="1"/>
  <c r="J93" i="1"/>
  <c r="J94" i="1"/>
  <c r="J83" i="1"/>
  <c r="M84" i="1"/>
  <c r="M85" i="1"/>
  <c r="M86" i="1"/>
  <c r="M87" i="1"/>
  <c r="M88" i="1"/>
  <c r="M89" i="1"/>
  <c r="M90" i="1"/>
  <c r="M91" i="1"/>
  <c r="M92" i="1"/>
  <c r="M93" i="1"/>
  <c r="M94" i="1"/>
  <c r="M83" i="1"/>
  <c r="L84" i="1"/>
  <c r="L85" i="1"/>
  <c r="L86" i="1"/>
  <c r="L87" i="1"/>
  <c r="L88" i="1"/>
  <c r="L89" i="1"/>
  <c r="L90" i="1"/>
  <c r="L91" i="1"/>
  <c r="L92" i="1"/>
  <c r="L93" i="1"/>
  <c r="L94" i="1"/>
  <c r="L83" i="1"/>
  <c r="L95" i="1" l="1"/>
  <c r="L114" i="1"/>
  <c r="A1" i="1"/>
  <c r="C7" i="1"/>
  <c r="C83" i="1" s="1"/>
  <c r="D7" i="1"/>
  <c r="E7" i="1"/>
  <c r="F7" i="1"/>
  <c r="F83" i="1" s="1"/>
  <c r="G7" i="1"/>
  <c r="G83" i="1" s="1"/>
  <c r="C8" i="1"/>
  <c r="C84" i="1" s="1"/>
  <c r="D8" i="1"/>
  <c r="D84" i="1" s="1"/>
  <c r="E8" i="1"/>
  <c r="E84" i="1" s="1"/>
  <c r="F8" i="1"/>
  <c r="F84" i="1" s="1"/>
  <c r="G8" i="1"/>
  <c r="G84" i="1" s="1"/>
  <c r="C9" i="1"/>
  <c r="C85" i="1" s="1"/>
  <c r="D9" i="1"/>
  <c r="D85" i="1" s="1"/>
  <c r="E9" i="1"/>
  <c r="E85" i="1" s="1"/>
  <c r="F9" i="1"/>
  <c r="F85" i="1" s="1"/>
  <c r="G9" i="1"/>
  <c r="G85" i="1" s="1"/>
  <c r="C10" i="1"/>
  <c r="C86" i="1" s="1"/>
  <c r="D10" i="1"/>
  <c r="D86" i="1" s="1"/>
  <c r="E10" i="1"/>
  <c r="E86" i="1" s="1"/>
  <c r="F10" i="1"/>
  <c r="F86" i="1" s="1"/>
  <c r="G10" i="1"/>
  <c r="G86" i="1" s="1"/>
  <c r="C11" i="1"/>
  <c r="C87" i="1" s="1"/>
  <c r="D11" i="1"/>
  <c r="E11" i="1"/>
  <c r="E87" i="1" s="1"/>
  <c r="F11" i="1"/>
  <c r="F87" i="1" s="1"/>
  <c r="G11" i="1"/>
  <c r="G87" i="1" s="1"/>
  <c r="C12" i="1"/>
  <c r="C88" i="1" s="1"/>
  <c r="D12" i="1"/>
  <c r="D88" i="1" s="1"/>
  <c r="E12" i="1"/>
  <c r="E88" i="1" s="1"/>
  <c r="F12" i="1"/>
  <c r="F88" i="1" s="1"/>
  <c r="G12" i="1"/>
  <c r="G88" i="1" s="1"/>
  <c r="C13" i="1"/>
  <c r="C89" i="1" s="1"/>
  <c r="D13" i="1"/>
  <c r="D89" i="1" s="1"/>
  <c r="E13" i="1"/>
  <c r="E89" i="1" s="1"/>
  <c r="F13" i="1"/>
  <c r="G13" i="1"/>
  <c r="G89" i="1" s="1"/>
  <c r="C14" i="1"/>
  <c r="C90" i="1" s="1"/>
  <c r="D14" i="1"/>
  <c r="D90" i="1" s="1"/>
  <c r="E14" i="1"/>
  <c r="E90" i="1" s="1"/>
  <c r="F14" i="1"/>
  <c r="F90" i="1" s="1"/>
  <c r="G14" i="1"/>
  <c r="G90" i="1" s="1"/>
  <c r="C15" i="1"/>
  <c r="C91" i="1" s="1"/>
  <c r="D15" i="1"/>
  <c r="E15" i="1"/>
  <c r="E91" i="1" s="1"/>
  <c r="F15" i="1"/>
  <c r="F91" i="1" s="1"/>
  <c r="G15" i="1"/>
  <c r="G91" i="1" s="1"/>
  <c r="C16" i="1"/>
  <c r="C92" i="1" s="1"/>
  <c r="D16" i="1"/>
  <c r="D92" i="1" s="1"/>
  <c r="E16" i="1"/>
  <c r="E92" i="1" s="1"/>
  <c r="F16" i="1"/>
  <c r="F92" i="1" s="1"/>
  <c r="G16" i="1"/>
  <c r="G92" i="1" s="1"/>
  <c r="C17" i="1"/>
  <c r="C93" i="1" s="1"/>
  <c r="D17" i="1"/>
  <c r="D93" i="1" s="1"/>
  <c r="E17" i="1"/>
  <c r="E93" i="1" s="1"/>
  <c r="F17" i="1"/>
  <c r="G17" i="1"/>
  <c r="G93" i="1" s="1"/>
  <c r="C18" i="1"/>
  <c r="C94" i="1" s="1"/>
  <c r="D18" i="1"/>
  <c r="D94" i="1" s="1"/>
  <c r="E18" i="1"/>
  <c r="E94" i="1" s="1"/>
  <c r="F18" i="1"/>
  <c r="F94" i="1" s="1"/>
  <c r="G18" i="1"/>
  <c r="G94" i="1" s="1"/>
  <c r="I19" i="1"/>
  <c r="J19" i="1"/>
  <c r="K19" i="1"/>
  <c r="L19" i="1"/>
  <c r="M19" i="1"/>
  <c r="N19" i="1"/>
  <c r="O19" i="1"/>
  <c r="P19" i="1"/>
  <c r="Q19" i="1"/>
  <c r="R19" i="1"/>
  <c r="C26" i="1"/>
  <c r="C102" i="1" s="1"/>
  <c r="D26" i="1"/>
  <c r="D102" i="1" s="1"/>
  <c r="E26" i="1"/>
  <c r="E102" i="1" s="1"/>
  <c r="F26" i="1"/>
  <c r="F102" i="1" s="1"/>
  <c r="G26" i="1"/>
  <c r="G102" i="1" s="1"/>
  <c r="C27" i="1"/>
  <c r="C103" i="1" s="1"/>
  <c r="D27" i="1"/>
  <c r="D103" i="1" s="1"/>
  <c r="E27" i="1"/>
  <c r="F27" i="1"/>
  <c r="F103" i="1" s="1"/>
  <c r="G27" i="1"/>
  <c r="G103" i="1" s="1"/>
  <c r="C28" i="1"/>
  <c r="C104" i="1" s="1"/>
  <c r="D28" i="1"/>
  <c r="D104" i="1" s="1"/>
  <c r="E28" i="1"/>
  <c r="E104" i="1" s="1"/>
  <c r="F28" i="1"/>
  <c r="F104" i="1" s="1"/>
  <c r="G28" i="1"/>
  <c r="G104" i="1" s="1"/>
  <c r="C29" i="1"/>
  <c r="D29" i="1"/>
  <c r="D105" i="1" s="1"/>
  <c r="E29" i="1"/>
  <c r="E105" i="1" s="1"/>
  <c r="F29" i="1"/>
  <c r="F105" i="1" s="1"/>
  <c r="G29" i="1"/>
  <c r="C30" i="1"/>
  <c r="C106" i="1" s="1"/>
  <c r="D30" i="1"/>
  <c r="D106" i="1" s="1"/>
  <c r="E30" i="1"/>
  <c r="E106" i="1" s="1"/>
  <c r="F30" i="1"/>
  <c r="F106" i="1" s="1"/>
  <c r="G30" i="1"/>
  <c r="G106" i="1" s="1"/>
  <c r="C31" i="1"/>
  <c r="C107" i="1" s="1"/>
  <c r="D31" i="1"/>
  <c r="E31" i="1"/>
  <c r="F31" i="1"/>
  <c r="F107" i="1" s="1"/>
  <c r="G31" i="1"/>
  <c r="G107" i="1" s="1"/>
  <c r="C32" i="1"/>
  <c r="D32" i="1"/>
  <c r="D108" i="1" s="1"/>
  <c r="E32" i="1"/>
  <c r="E108" i="1" s="1"/>
  <c r="F32" i="1"/>
  <c r="F108" i="1" s="1"/>
  <c r="G32" i="1"/>
  <c r="G108" i="1" s="1"/>
  <c r="C33" i="1"/>
  <c r="D33" i="1"/>
  <c r="D109" i="1" s="1"/>
  <c r="E33" i="1"/>
  <c r="E109" i="1" s="1"/>
  <c r="F33" i="1"/>
  <c r="F109" i="1" s="1"/>
  <c r="G33" i="1"/>
  <c r="C34" i="1"/>
  <c r="C110" i="1" s="1"/>
  <c r="D34" i="1"/>
  <c r="D110" i="1" s="1"/>
  <c r="E34" i="1"/>
  <c r="E110" i="1" s="1"/>
  <c r="F34" i="1"/>
  <c r="F110" i="1" s="1"/>
  <c r="G34" i="1"/>
  <c r="G110" i="1" s="1"/>
  <c r="C35" i="1"/>
  <c r="C111" i="1" s="1"/>
  <c r="D35" i="1"/>
  <c r="E35" i="1"/>
  <c r="F35" i="1"/>
  <c r="F111" i="1" s="1"/>
  <c r="G35" i="1"/>
  <c r="G111" i="1" s="1"/>
  <c r="C36" i="1"/>
  <c r="C112" i="1" s="1"/>
  <c r="D36" i="1"/>
  <c r="D112" i="1" s="1"/>
  <c r="E36" i="1"/>
  <c r="E112" i="1" s="1"/>
  <c r="F36" i="1"/>
  <c r="F112" i="1" s="1"/>
  <c r="G36" i="1"/>
  <c r="G112" i="1" s="1"/>
  <c r="C37" i="1"/>
  <c r="D37" i="1"/>
  <c r="D113" i="1" s="1"/>
  <c r="E37" i="1"/>
  <c r="E113" i="1" s="1"/>
  <c r="F37" i="1"/>
  <c r="G37" i="1"/>
  <c r="I38" i="1"/>
  <c r="J38" i="1"/>
  <c r="K38" i="1"/>
  <c r="L38" i="1"/>
  <c r="M38" i="1"/>
  <c r="N38" i="1"/>
  <c r="O38" i="1"/>
  <c r="P38" i="1"/>
  <c r="Q38" i="1"/>
  <c r="R38" i="1"/>
  <c r="C45" i="1"/>
  <c r="C64" i="1" s="1"/>
  <c r="I45" i="1"/>
  <c r="I64" i="1" s="1"/>
  <c r="J45" i="1"/>
  <c r="J64" i="1" s="1"/>
  <c r="K45" i="1"/>
  <c r="K64" i="1" s="1"/>
  <c r="L45" i="1"/>
  <c r="L64" i="1" s="1"/>
  <c r="M45" i="1"/>
  <c r="N45" i="1"/>
  <c r="N64" i="1" s="1"/>
  <c r="O45" i="1"/>
  <c r="O64" i="1" s="1"/>
  <c r="P45" i="1"/>
  <c r="P64" i="1" s="1"/>
  <c r="Q45" i="1"/>
  <c r="Q64" i="1" s="1"/>
  <c r="R45" i="1"/>
  <c r="R64" i="1" s="1"/>
  <c r="G46" i="1"/>
  <c r="I46" i="1"/>
  <c r="J46" i="1"/>
  <c r="K46" i="1"/>
  <c r="K65" i="1" s="1"/>
  <c r="L46" i="1"/>
  <c r="L65" i="1" s="1"/>
  <c r="M46" i="1"/>
  <c r="M65" i="1" s="1"/>
  <c r="N46" i="1"/>
  <c r="O46" i="1"/>
  <c r="O65" i="1" s="1"/>
  <c r="P46" i="1"/>
  <c r="Q46" i="1"/>
  <c r="Q65" i="1" s="1"/>
  <c r="R46" i="1"/>
  <c r="I47" i="1"/>
  <c r="I66" i="1" s="1"/>
  <c r="J47" i="1"/>
  <c r="K47" i="1"/>
  <c r="L47" i="1"/>
  <c r="L66" i="1" s="1"/>
  <c r="M47" i="1"/>
  <c r="N47" i="1"/>
  <c r="N66" i="1" s="1"/>
  <c r="O47" i="1"/>
  <c r="O66" i="1" s="1"/>
  <c r="P47" i="1"/>
  <c r="P66" i="1" s="1"/>
  <c r="Q47" i="1"/>
  <c r="Q66" i="1" s="1"/>
  <c r="R47" i="1"/>
  <c r="I48" i="1"/>
  <c r="I67" i="1" s="1"/>
  <c r="J48" i="1"/>
  <c r="J67" i="1" s="1"/>
  <c r="K48" i="1"/>
  <c r="K67" i="1" s="1"/>
  <c r="L48" i="1"/>
  <c r="L67" i="1" s="1"/>
  <c r="M48" i="1"/>
  <c r="M67" i="1" s="1"/>
  <c r="N48" i="1"/>
  <c r="O48" i="1"/>
  <c r="P48" i="1"/>
  <c r="P67" i="1" s="1"/>
  <c r="Q48" i="1"/>
  <c r="Q67" i="1" s="1"/>
  <c r="R48" i="1"/>
  <c r="R67" i="1" s="1"/>
  <c r="I49" i="1"/>
  <c r="J49" i="1"/>
  <c r="J68" i="1" s="1"/>
  <c r="K49" i="1"/>
  <c r="L49" i="1"/>
  <c r="M49" i="1"/>
  <c r="M68" i="1" s="1"/>
  <c r="N49" i="1"/>
  <c r="N68" i="1" s="1"/>
  <c r="O49" i="1"/>
  <c r="O68" i="1" s="1"/>
  <c r="P49" i="1"/>
  <c r="P68" i="1" s="1"/>
  <c r="Q49" i="1"/>
  <c r="R49" i="1"/>
  <c r="R68" i="1" s="1"/>
  <c r="C50" i="1"/>
  <c r="I50" i="1"/>
  <c r="J50" i="1"/>
  <c r="J69" i="1" s="1"/>
  <c r="K50" i="1"/>
  <c r="K69" i="1" s="1"/>
  <c r="L50" i="1"/>
  <c r="L69" i="1" s="1"/>
  <c r="M50" i="1"/>
  <c r="M69" i="1" s="1"/>
  <c r="N50" i="1"/>
  <c r="O50" i="1"/>
  <c r="O69" i="1" s="1"/>
  <c r="P50" i="1"/>
  <c r="P69" i="1" s="1"/>
  <c r="Q50" i="1"/>
  <c r="R50" i="1"/>
  <c r="R69" i="1" s="1"/>
  <c r="D51" i="1"/>
  <c r="D70" i="1" s="1"/>
  <c r="I51" i="1"/>
  <c r="J51" i="1"/>
  <c r="K51" i="1"/>
  <c r="K70" i="1" s="1"/>
  <c r="L51" i="1"/>
  <c r="L70" i="1" s="1"/>
  <c r="M51" i="1"/>
  <c r="M70" i="1" s="1"/>
  <c r="N51" i="1"/>
  <c r="N70" i="1" s="1"/>
  <c r="O51" i="1"/>
  <c r="O70" i="1" s="1"/>
  <c r="P51" i="1"/>
  <c r="P70" i="1" s="1"/>
  <c r="Q51" i="1"/>
  <c r="R51" i="1"/>
  <c r="R70" i="1" s="1"/>
  <c r="E52" i="1"/>
  <c r="I52" i="1"/>
  <c r="I71" i="1" s="1"/>
  <c r="J52" i="1"/>
  <c r="K52" i="1"/>
  <c r="K71" i="1" s="1"/>
  <c r="L52" i="1"/>
  <c r="L71" i="1" s="1"/>
  <c r="M52" i="1"/>
  <c r="M71" i="1" s="1"/>
  <c r="N52" i="1"/>
  <c r="O52" i="1"/>
  <c r="O71" i="1" s="1"/>
  <c r="P52" i="1"/>
  <c r="P71" i="1" s="1"/>
  <c r="Q52" i="1"/>
  <c r="Q71" i="1" s="1"/>
  <c r="R52" i="1"/>
  <c r="F53" i="1"/>
  <c r="F72" i="1" s="1"/>
  <c r="I53" i="1"/>
  <c r="I72" i="1" s="1"/>
  <c r="J53" i="1"/>
  <c r="J72" i="1" s="1"/>
  <c r="K53" i="1"/>
  <c r="K72" i="1" s="1"/>
  <c r="L53" i="1"/>
  <c r="M53" i="1"/>
  <c r="M72" i="1" s="1"/>
  <c r="N53" i="1"/>
  <c r="N72" i="1" s="1"/>
  <c r="O53" i="1"/>
  <c r="P53" i="1"/>
  <c r="P72" i="1" s="1"/>
  <c r="Q53" i="1"/>
  <c r="Q72" i="1" s="1"/>
  <c r="R53" i="1"/>
  <c r="R72" i="1" s="1"/>
  <c r="I54" i="1"/>
  <c r="I73" i="1" s="1"/>
  <c r="J54" i="1"/>
  <c r="J73" i="1" s="1"/>
  <c r="K54" i="1"/>
  <c r="K73" i="1" s="1"/>
  <c r="L54" i="1"/>
  <c r="M54" i="1"/>
  <c r="N54" i="1"/>
  <c r="N73" i="1" s="1"/>
  <c r="O54" i="1"/>
  <c r="O73" i="1" s="1"/>
  <c r="P54" i="1"/>
  <c r="P73" i="1" s="1"/>
  <c r="Q54" i="1"/>
  <c r="Q73" i="1" s="1"/>
  <c r="R54" i="1"/>
  <c r="R73" i="1" s="1"/>
  <c r="I55" i="1"/>
  <c r="I74" i="1" s="1"/>
  <c r="J55" i="1"/>
  <c r="J74" i="1" s="1"/>
  <c r="K55" i="1"/>
  <c r="K74" i="1" s="1"/>
  <c r="L55" i="1"/>
  <c r="L74" i="1" s="1"/>
  <c r="M55" i="1"/>
  <c r="M74" i="1" s="1"/>
  <c r="N55" i="1"/>
  <c r="N74" i="1" s="1"/>
  <c r="O55" i="1"/>
  <c r="P55" i="1"/>
  <c r="P74" i="1" s="1"/>
  <c r="Q55" i="1"/>
  <c r="R55" i="1"/>
  <c r="R74" i="1" s="1"/>
  <c r="I56" i="1"/>
  <c r="I75" i="1" s="1"/>
  <c r="J56" i="1"/>
  <c r="J75" i="1" s="1"/>
  <c r="K56" i="1"/>
  <c r="L56" i="1"/>
  <c r="M56" i="1"/>
  <c r="M75" i="1" s="1"/>
  <c r="N56" i="1"/>
  <c r="N57" i="1" s="1"/>
  <c r="O56" i="1"/>
  <c r="P56" i="1"/>
  <c r="P75" i="1" s="1"/>
  <c r="Q56" i="1"/>
  <c r="Q75" i="1" s="1"/>
  <c r="R56" i="1"/>
  <c r="R75" i="1" s="1"/>
  <c r="M64" i="1"/>
  <c r="I65" i="1"/>
  <c r="J65" i="1"/>
  <c r="N65" i="1"/>
  <c r="P65" i="1"/>
  <c r="R65" i="1"/>
  <c r="J66" i="1"/>
  <c r="K66" i="1"/>
  <c r="M66" i="1"/>
  <c r="R66" i="1"/>
  <c r="N67" i="1"/>
  <c r="O67" i="1"/>
  <c r="I68" i="1"/>
  <c r="K68" i="1"/>
  <c r="L68" i="1"/>
  <c r="Q68" i="1"/>
  <c r="I69" i="1"/>
  <c r="N69" i="1"/>
  <c r="Q69" i="1"/>
  <c r="I70" i="1"/>
  <c r="J70" i="1"/>
  <c r="Q70" i="1"/>
  <c r="J71" i="1"/>
  <c r="N71" i="1"/>
  <c r="R71" i="1"/>
  <c r="L72" i="1"/>
  <c r="L73" i="1"/>
  <c r="M73" i="1"/>
  <c r="O74" i="1"/>
  <c r="Q74" i="1"/>
  <c r="K75" i="1"/>
  <c r="L75" i="1"/>
  <c r="O75" i="1"/>
  <c r="J95" i="1"/>
  <c r="N95" i="1"/>
  <c r="I95" i="1"/>
  <c r="Q95" i="1"/>
  <c r="P95" i="1"/>
  <c r="M95" i="1"/>
  <c r="R95" i="1"/>
  <c r="K114" i="1"/>
  <c r="K115" i="1" s="1"/>
  <c r="O114" i="1"/>
  <c r="O115" i="1" s="1"/>
  <c r="L115" i="1"/>
  <c r="P114" i="1"/>
  <c r="P115" i="1" s="1"/>
  <c r="M114" i="1"/>
  <c r="M115" i="1" s="1"/>
  <c r="J114" i="1"/>
  <c r="J115" i="1" s="1"/>
  <c r="N114" i="1"/>
  <c r="N115" i="1" s="1"/>
  <c r="I114" i="1"/>
  <c r="Q114" i="1"/>
  <c r="Q115" i="1" s="1"/>
  <c r="E47" i="1" l="1"/>
  <c r="E66" i="1" s="1"/>
  <c r="D47" i="1"/>
  <c r="D66" i="1" s="1"/>
  <c r="C54" i="1"/>
  <c r="C73" i="1" s="1"/>
  <c r="O57" i="1"/>
  <c r="O76" i="1" s="1"/>
  <c r="E48" i="1"/>
  <c r="E51" i="1"/>
  <c r="E70" i="1" s="1"/>
  <c r="F50" i="1"/>
  <c r="F69" i="1" s="1"/>
  <c r="F49" i="1"/>
  <c r="F68" i="1" s="1"/>
  <c r="C51" i="1"/>
  <c r="C108" i="1"/>
  <c r="F56" i="1"/>
  <c r="F113" i="1"/>
  <c r="F114" i="1" s="1"/>
  <c r="F115" i="1" s="1"/>
  <c r="D50" i="1"/>
  <c r="D107" i="1"/>
  <c r="C53" i="1"/>
  <c r="C72" i="1" s="1"/>
  <c r="D52" i="1"/>
  <c r="D71" i="1" s="1"/>
  <c r="C49" i="1"/>
  <c r="C68" i="1" s="1"/>
  <c r="D48" i="1"/>
  <c r="D67" i="1" s="1"/>
  <c r="F46" i="1"/>
  <c r="F65" i="1" s="1"/>
  <c r="G45" i="1"/>
  <c r="G64" i="1" s="1"/>
  <c r="E71" i="1"/>
  <c r="E67" i="1"/>
  <c r="E56" i="1"/>
  <c r="E75" i="1" s="1"/>
  <c r="C46" i="1"/>
  <c r="C65" i="1" s="1"/>
  <c r="F45" i="1"/>
  <c r="F64" i="1" s="1"/>
  <c r="E19" i="1"/>
  <c r="E83" i="1"/>
  <c r="D54" i="1"/>
  <c r="D73" i="1" s="1"/>
  <c r="D111" i="1"/>
  <c r="G65" i="1"/>
  <c r="E55" i="1"/>
  <c r="E74" i="1" s="1"/>
  <c r="G54" i="1"/>
  <c r="G73" i="1"/>
  <c r="C69" i="1"/>
  <c r="D56" i="1"/>
  <c r="D75" i="1" s="1"/>
  <c r="D55" i="1"/>
  <c r="D74" i="1" s="1"/>
  <c r="F54" i="1"/>
  <c r="F73" i="1" s="1"/>
  <c r="G53" i="1"/>
  <c r="G72" i="1" s="1"/>
  <c r="E45" i="1"/>
  <c r="G56" i="1"/>
  <c r="G75" i="1" s="1"/>
  <c r="G113" i="1"/>
  <c r="C56" i="1"/>
  <c r="C75" i="1" s="1"/>
  <c r="C113" i="1"/>
  <c r="E54" i="1"/>
  <c r="E73" i="1" s="1"/>
  <c r="E111" i="1"/>
  <c r="G52" i="1"/>
  <c r="G71" i="1" s="1"/>
  <c r="G109" i="1"/>
  <c r="C52" i="1"/>
  <c r="C71" i="1" s="1"/>
  <c r="C109" i="1"/>
  <c r="C114" i="1" s="1"/>
  <c r="E50" i="1"/>
  <c r="E69" i="1" s="1"/>
  <c r="E107" i="1"/>
  <c r="G48" i="1"/>
  <c r="G67" i="1" s="1"/>
  <c r="G105" i="1"/>
  <c r="C48" i="1"/>
  <c r="C67" i="1" s="1"/>
  <c r="C105" i="1"/>
  <c r="E46" i="1"/>
  <c r="E65" i="1" s="1"/>
  <c r="E103" i="1"/>
  <c r="F55" i="1"/>
  <c r="F74" i="1" s="1"/>
  <c r="F93" i="1"/>
  <c r="D53" i="1"/>
  <c r="D72" i="1" s="1"/>
  <c r="D91" i="1"/>
  <c r="F51" i="1"/>
  <c r="F70" i="1" s="1"/>
  <c r="F89" i="1"/>
  <c r="D49" i="1"/>
  <c r="D68" i="1" s="1"/>
  <c r="D87" i="1"/>
  <c r="D95" i="1" s="1"/>
  <c r="D45" i="1"/>
  <c r="D64" i="1" s="1"/>
  <c r="D83" i="1"/>
  <c r="G50" i="1"/>
  <c r="G69" i="1" s="1"/>
  <c r="G49" i="1"/>
  <c r="G68" i="1" s="1"/>
  <c r="R114" i="1"/>
  <c r="R115" i="1" s="1"/>
  <c r="E95" i="1"/>
  <c r="F48" i="1"/>
  <c r="F67" i="1" s="1"/>
  <c r="C38" i="1"/>
  <c r="E64" i="1"/>
  <c r="F95" i="1"/>
  <c r="N75" i="1"/>
  <c r="R57" i="1"/>
  <c r="R76" i="1" s="1"/>
  <c r="L57" i="1"/>
  <c r="L76" i="1" s="1"/>
  <c r="E53" i="1"/>
  <c r="E72" i="1" s="1"/>
  <c r="F52" i="1"/>
  <c r="F71" i="1" s="1"/>
  <c r="F38" i="1"/>
  <c r="F19" i="1"/>
  <c r="F47" i="1"/>
  <c r="G19" i="1"/>
  <c r="G95" i="1"/>
  <c r="C19" i="1"/>
  <c r="C95" i="1"/>
  <c r="C70" i="1"/>
  <c r="G38" i="1"/>
  <c r="D46" i="1"/>
  <c r="D65" i="1" s="1"/>
  <c r="D38" i="1"/>
  <c r="O95" i="1"/>
  <c r="K95" i="1"/>
  <c r="F75" i="1"/>
  <c r="O72" i="1"/>
  <c r="P57" i="1"/>
  <c r="P76" i="1" s="1"/>
  <c r="K57" i="1"/>
  <c r="K76" i="1" s="1"/>
  <c r="C55" i="1"/>
  <c r="C74" i="1" s="1"/>
  <c r="G51" i="1"/>
  <c r="G70" i="1" s="1"/>
  <c r="Q57" i="1"/>
  <c r="Q76" i="1" s="1"/>
  <c r="M57" i="1"/>
  <c r="M76" i="1" s="1"/>
  <c r="I57" i="1"/>
  <c r="I76" i="1" s="1"/>
  <c r="C47" i="1"/>
  <c r="E38" i="1"/>
  <c r="D19" i="1"/>
  <c r="D69" i="1"/>
  <c r="J57" i="1"/>
  <c r="J76" i="1" s="1"/>
  <c r="G55" i="1"/>
  <c r="G74" i="1" s="1"/>
  <c r="E49" i="1"/>
  <c r="E68" i="1" s="1"/>
  <c r="G47" i="1"/>
  <c r="N76" i="1"/>
  <c r="C57" i="1" l="1"/>
  <c r="E57" i="1"/>
  <c r="F66" i="1"/>
  <c r="F57" i="1"/>
  <c r="F76" i="1" s="1"/>
  <c r="G57" i="1"/>
  <c r="G76" i="1" s="1"/>
  <c r="E114" i="1"/>
  <c r="E115" i="1" s="1"/>
  <c r="G114" i="1"/>
  <c r="G115" i="1" s="1"/>
  <c r="G66" i="1"/>
  <c r="F40" i="1"/>
  <c r="C76" i="1"/>
  <c r="E76" i="1"/>
  <c r="D114" i="1"/>
  <c r="D115" i="1" s="1"/>
  <c r="D57" i="1"/>
  <c r="D76" i="1" s="1"/>
  <c r="C66" i="1"/>
</calcChain>
</file>

<file path=xl/sharedStrings.xml><?xml version="1.0" encoding="utf-8"?>
<sst xmlns="http://schemas.openxmlformats.org/spreadsheetml/2006/main" count="199" uniqueCount="30">
  <si>
    <t>Equivalent Trees</t>
  </si>
  <si>
    <t>Total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</si>
  <si>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</si>
  <si>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</si>
  <si>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</si>
  <si>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</si>
  <si>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</si>
  <si>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</si>
  <si>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</si>
  <si>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</si>
  <si>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</si>
  <si>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</si>
  <si>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</si>
  <si>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</si>
  <si>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r>
      <t>MT CO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</si>
  <si>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MT CO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/>
    </r>
  </si>
  <si>
    <t>Month</t>
  </si>
  <si>
    <t>KIP</t>
  </si>
  <si>
    <t>Tago</t>
  </si>
  <si>
    <t>Combine</t>
  </si>
  <si>
    <t>Emmision Avoidance (from Solar)</t>
  </si>
  <si>
    <t>%</t>
  </si>
  <si>
    <t>Percentage of Savings after Solar (%)</t>
  </si>
  <si>
    <t>kWh</t>
  </si>
  <si>
    <t>Total TNB+Solar kWh</t>
  </si>
  <si>
    <t>KIP (Capacity: 445.265 kWp)</t>
  </si>
  <si>
    <t>Tago (Capacity: 449.080 kWp)</t>
  </si>
  <si>
    <t>Solar kWh (From Solar Website)</t>
  </si>
  <si>
    <t>TNB Electricity kWh (From Huipin/ Bill tnb)</t>
  </si>
  <si>
    <t>Emmision (from TNB) (kWh x Emmision Factor) *Emission factor different every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</si>
</sst>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_-;\-* #,##0_-;_-* &quot;-&quot;??_-;_-@_-"/>
    <numFmt numFmtId="165" formatCode="_-* #,##0.000_-;\-* #,##0.000_-;_-* &quot;-&quot;??_-;_-@_-"/>
    <numFmt numFmtId="166" formatCode="_(* #,##0.00_);_(* \(#,##0.00\);_(* &quot;-&quot;??_);_(@_)"/>
    <numFmt numFmtId="167" formatCode="0.0"/>
    <numFmt numFmtId="168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Font="1" applyAlignment="1">
      <alignment horizontal="center"/>
    </xf>
    <xf numFmtId="164" fontId="3" fillId="0" borderId="0" xfId="0" applyNumberFormat="1" applyFont="1"/>
    <xf numFmtId="0" fontId="4" fillId="0" borderId="0" xfId="0" applyFont="1" applyFill="1" applyBorder="1" applyAlignment="1">
      <alignment horizontal="center" vertical="top" wrapText="1"/>
    </xf>
    <xf numFmtId="165" fontId="0" fillId="0" borderId="0" xfId="0" applyNumberFormat="1"/>
    <xf numFmtId="165" fontId="5" fillId="0" borderId="0" xfId="1" applyNumberFormat="1" applyFont="1"/>
    <xf numFmtId="165" fontId="5" fillId="0" borderId="0" xfId="0" applyNumberFormat="1" applyFont="1" applyFill="1" applyBorder="1" applyAlignment="1">
      <alignment horizontal="center" vertical="top"/>
    </xf>
    <xf numFmtId="1" fontId="0" fillId="2" borderId="1" xfId="0" applyNumberFormat="1" applyFill="1" applyBorder="1" applyAlignment="1">
      <alignment horizontal="center" vertical="top"/>
    </xf>
    <xf numFmtId="1" fontId="0" fillId="3" borderId="1" xfId="2" applyNumberFormat="1" applyFont="1" applyFill="1" applyBorder="1" applyAlignment="1">
      <alignment horizontal="center" vertical="top"/>
    </xf>
    <xf numFmtId="1" fontId="0" fillId="4" borderId="1" xfId="2" applyNumberFormat="1" applyFont="1" applyFill="1" applyBorder="1" applyAlignment="1">
      <alignment horizontal="center" vertical="top"/>
    </xf>
    <xf numFmtId="1" fontId="0" fillId="5" borderId="1" xfId="2" applyNumberFormat="1" applyFont="1" applyFill="1" applyBorder="1" applyAlignment="1">
      <alignment horizontal="center" vertical="top"/>
    </xf>
    <xf numFmtId="1" fontId="0" fillId="6" borderId="1" xfId="2" applyNumberFormat="1" applyFont="1" applyFill="1" applyBorder="1" applyAlignment="1">
      <alignment horizontal="center" vertical="top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" fontId="0" fillId="5" borderId="1" xfId="1" applyNumberFormat="1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center"/>
    </xf>
    <xf numFmtId="0" fontId="0" fillId="0" borderId="0" xfId="0" applyAlignment="1"/>
    <xf numFmtId="0" fontId="7" fillId="0" borderId="0" xfId="0" applyFont="1"/>
    <xf numFmtId="164" fontId="5" fillId="0" borderId="0" xfId="1" applyNumberFormat="1" applyFont="1"/>
    <xf numFmtId="164" fontId="0" fillId="0" borderId="0" xfId="0" applyNumberFormat="1"/>
    <xf numFmtId="166" fontId="5" fillId="0" borderId="0" xfId="1" applyNumberFormat="1" applyFont="1"/>
    <xf numFmtId="164" fontId="5" fillId="0" borderId="0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9" fontId="5" fillId="0" borderId="0" xfId="2" applyFont="1"/>
    <xf numFmtId="9" fontId="0" fillId="2" borderId="1" xfId="2" applyFont="1" applyFill="1" applyBorder="1" applyAlignment="1">
      <alignment horizontal="center" vertical="top"/>
    </xf>
    <xf numFmtId="9" fontId="0" fillId="3" borderId="1" xfId="2" applyFont="1" applyFill="1" applyBorder="1" applyAlignment="1">
      <alignment horizontal="center" vertical="top"/>
    </xf>
    <xf numFmtId="9" fontId="0" fillId="4" borderId="1" xfId="2" applyFont="1" applyFill="1" applyBorder="1" applyAlignment="1">
      <alignment horizontal="center" vertical="top"/>
    </xf>
    <xf numFmtId="9" fontId="0" fillId="5" borderId="1" xfId="2" applyFont="1" applyFill="1" applyBorder="1" applyAlignment="1">
      <alignment horizontal="center" vertical="top"/>
    </xf>
    <xf numFmtId="9" fontId="0" fillId="6" borderId="1" xfId="2" applyFont="1" applyFill="1" applyBorder="1" applyAlignment="1">
      <alignment horizontal="center" vertical="top"/>
    </xf>
    <xf numFmtId="9" fontId="0" fillId="0" borderId="1" xfId="2" applyFont="1" applyBorder="1" applyAlignment="1">
      <alignment horizontal="center"/>
    </xf>
    <xf numFmtId="9" fontId="0" fillId="0" borderId="1" xfId="2" applyFont="1" applyBorder="1" applyAlignment="1">
      <alignment horizontal="center" vertical="top"/>
    </xf>
    <xf numFmtId="1" fontId="0" fillId="3" borderId="1" xfId="0" applyNumberFormat="1" applyFill="1" applyBorder="1" applyAlignment="1">
      <alignment horizontal="center" vertical="top"/>
    </xf>
    <xf numFmtId="1" fontId="0" fillId="4" borderId="1" xfId="0" applyNumberFormat="1" applyFill="1" applyBorder="1" applyAlignment="1">
      <alignment horizontal="center" vertical="top"/>
    </xf>
    <xf numFmtId="1" fontId="0" fillId="5" borderId="1" xfId="0" applyNumberFormat="1" applyFill="1" applyBorder="1" applyAlignment="1">
      <alignment horizontal="center" vertical="top"/>
    </xf>
    <xf numFmtId="9" fontId="0" fillId="0" borderId="0" xfId="2" applyFont="1"/>
    <xf numFmtId="0" fontId="5" fillId="0" borderId="0" xfId="0" applyFont="1" applyFill="1" applyBorder="1" applyAlignment="1">
      <alignment horizontal="center" vertical="top"/>
    </xf>
    <xf numFmtId="4" fontId="8" fillId="6" borderId="1" xfId="0" applyNumberFormat="1" applyFont="1" applyFill="1" applyBorder="1" applyAlignment="1">
      <alignment horizontal="center"/>
    </xf>
    <xf numFmtId="167" fontId="0" fillId="3" borderId="1" xfId="0" applyNumberFormat="1" applyFill="1" applyBorder="1" applyAlignment="1">
      <alignment horizontal="center" vertical="top"/>
    </xf>
    <xf numFmtId="4" fontId="8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center" wrapText="1"/>
    </xf>
    <xf numFmtId="0" fontId="8" fillId="6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6" borderId="1" xfId="0" applyNumberFormat="1" applyFont="1" applyFill="1" applyBorder="1" applyAlignment="1">
      <alignment horizontal="center" vertical="top"/>
    </xf>
    <xf numFmtId="0" fontId="0" fillId="0" borderId="1" xfId="0" applyFont="1" applyBorder="1" applyAlignment="1">
      <alignment horizontal="center"/>
    </xf>
    <xf numFmtId="0" fontId="0" fillId="2" borderId="1" xfId="1" applyNumberFormat="1" applyFont="1" applyFill="1" applyBorder="1" applyAlignment="1">
      <alignment horizontal="center" vertical="top"/>
    </xf>
    <xf numFmtId="0" fontId="9" fillId="0" borderId="0" xfId="0" quotePrefix="1" applyFont="1"/>
    <xf numFmtId="0" fontId="0" fillId="3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9" fillId="0" borderId="0" xfId="0" quotePrefix="1" applyFont="1" applyAlignment="1">
      <alignment vertical="top"/>
    </xf>
    <xf numFmtId="0" fontId="9" fillId="0" borderId="0" xfId="0" applyFont="1"/>
    <xf numFmtId="167" fontId="0" fillId="2" borderId="1" xfId="0" applyNumberFormat="1" applyFill="1" applyBorder="1" applyAlignment="1">
      <alignment horizontal="center" vertical="top"/>
    </xf>
    <xf numFmtId="168" fontId="0" fillId="3" borderId="1" xfId="2" applyNumberFormat="1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S115"/>
  <sheetViews>
    <sheetView showGridLines="0" tabSelected="1" topLeftCell="C79" zoomScaleNormal="100" zoomScaleSheetLayoutView="100" workbookViewId="0">
      <selection activeCell="H88" sqref="H88"/>
    </sheetView>
  </sheetViews>
  <sheetFormatPr defaultRowHeight="15" x14ac:dyDescent="0.25"/>
  <cols>
    <col min="1" max="1" width="9.140625" customWidth="1"/>
    <col min="3" max="7" width="12.5703125" customWidth="1"/>
    <col min="8" max="8" width="9.5703125" customWidth="1"/>
    <col min="9" max="13" width="11.140625" customWidth="1"/>
    <col min="14" max="14" width="11.140625" style="1" customWidth="1"/>
    <col min="15" max="18" width="11.140625" customWidth="1"/>
  </cols>
  <sheetData>
    <row r="1" spans="1:19" ht="46.5" x14ac:dyDescent="0.7">
      <c r="A1" s="60" t="str">
        <f ca="1">RIGHT(CELL("filename",A1),LEN(CELL("filename",A1))-FIND("]",CELL("filename",A1)))</f>
        <v>Electricity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1:19" x14ac:dyDescent="0.25">
      <c r="A2" s="19" t="s">
        <v>28</v>
      </c>
    </row>
    <row r="3" spans="1:19" x14ac:dyDescent="0.25">
      <c r="J3" s="54"/>
    </row>
    <row r="4" spans="1:19" x14ac:dyDescent="0.25">
      <c r="B4" s="18"/>
      <c r="C4" s="57" t="s">
        <v>19</v>
      </c>
      <c r="D4" s="57"/>
      <c r="E4" s="57"/>
      <c r="F4" s="57"/>
      <c r="G4" s="57"/>
      <c r="I4" s="57" t="s">
        <v>18</v>
      </c>
      <c r="J4" s="57"/>
      <c r="K4" s="57"/>
      <c r="L4" s="57"/>
      <c r="M4" s="57"/>
      <c r="N4" s="57" t="s">
        <v>17</v>
      </c>
      <c r="O4" s="57"/>
      <c r="P4" s="57"/>
      <c r="Q4" s="57"/>
      <c r="R4" s="57"/>
    </row>
    <row r="5" spans="1:19" x14ac:dyDescent="0.25">
      <c r="B5" s="58" t="s">
        <v>16</v>
      </c>
      <c r="C5" s="17">
        <v>2022</v>
      </c>
      <c r="D5" s="17">
        <v>2023</v>
      </c>
      <c r="E5" s="17">
        <v>2024</v>
      </c>
      <c r="F5" s="17">
        <v>2025</v>
      </c>
      <c r="G5" s="17">
        <v>2026</v>
      </c>
      <c r="I5" s="17">
        <v>2022</v>
      </c>
      <c r="J5" s="17">
        <v>2023</v>
      </c>
      <c r="K5" s="17">
        <v>2024</v>
      </c>
      <c r="L5" s="17">
        <v>2025</v>
      </c>
      <c r="M5" s="17">
        <v>2026</v>
      </c>
      <c r="N5" s="17">
        <v>2022</v>
      </c>
      <c r="O5" s="17">
        <v>2023</v>
      </c>
      <c r="P5" s="17">
        <v>2024</v>
      </c>
      <c r="Q5" s="17">
        <v>2025</v>
      </c>
      <c r="R5" s="17">
        <v>2026</v>
      </c>
    </row>
    <row r="6" spans="1:19" x14ac:dyDescent="0.25">
      <c r="B6" s="58"/>
      <c r="C6" s="16" t="s">
        <v>23</v>
      </c>
      <c r="D6" s="16" t="s">
        <v>23</v>
      </c>
      <c r="E6" s="16" t="s">
        <v>23</v>
      </c>
      <c r="F6" s="16" t="s">
        <v>23</v>
      </c>
      <c r="G6" s="16" t="s">
        <v>23</v>
      </c>
      <c r="I6" s="16" t="s">
        <v>23</v>
      </c>
      <c r="J6" s="16" t="s">
        <v>23</v>
      </c>
      <c r="K6" s="16" t="s">
        <v>23</v>
      </c>
      <c r="L6" s="16" t="s">
        <v>23</v>
      </c>
      <c r="M6" s="16" t="s">
        <v>23</v>
      </c>
      <c r="N6" s="16" t="s">
        <v>23</v>
      </c>
      <c r="O6" s="16" t="s">
        <v>23</v>
      </c>
      <c r="P6" s="16" t="s">
        <v>23</v>
      </c>
      <c r="Q6" s="16" t="s">
        <v>23</v>
      </c>
      <c r="R6" s="16" t="s">
        <v>23</v>
      </c>
    </row>
    <row r="7" spans="1:19" x14ac:dyDescent="0.25">
      <c r="B7" s="14" t="s">
        <v>13</v>
      </c>
      <c r="C7" s="14">
        <f t="shared" ref="C7:C18" si="0">I7+N7</f>
        <v>665905</v>
      </c>
      <c r="D7" s="50">
        <f t="shared" ref="D7:D18" si="1">J7+O7</f>
        <v>653822</v>
      </c>
      <c r="E7" s="49">
        <f t="shared" ref="E7:E18" si="2">K7+P7</f>
        <v>804850</v>
      </c>
      <c r="F7" s="48">
        <f t="shared" ref="F7:F18" si="3">L7+Q7</f>
        <v>830484</v>
      </c>
      <c r="G7" s="24">
        <f t="shared" ref="G7:G18" si="4">M7+R7</f>
        <v>784248</v>
      </c>
      <c r="I7" s="52">
        <v>574308</v>
      </c>
      <c r="J7" s="50">
        <v>551238</v>
      </c>
      <c r="K7" s="49">
        <v>637831</v>
      </c>
      <c r="L7" s="48">
        <v>627436</v>
      </c>
      <c r="M7" s="24">
        <v>581437</v>
      </c>
      <c r="N7" s="51">
        <v>91597</v>
      </c>
      <c r="O7" s="50">
        <v>102584</v>
      </c>
      <c r="P7" s="49">
        <v>167019</v>
      </c>
      <c r="Q7" s="48">
        <v>203048</v>
      </c>
      <c r="R7" s="24">
        <v>202811</v>
      </c>
      <c r="S7" s="53"/>
    </row>
    <row r="8" spans="1:19" x14ac:dyDescent="0.25">
      <c r="B8" s="14" t="s">
        <v>12</v>
      </c>
      <c r="C8" s="14">
        <f t="shared" si="0"/>
        <v>591553</v>
      </c>
      <c r="D8" s="50">
        <f t="shared" si="1"/>
        <v>688763</v>
      </c>
      <c r="E8" s="49">
        <f t="shared" si="2"/>
        <v>714451</v>
      </c>
      <c r="F8" s="48">
        <f t="shared" si="3"/>
        <v>807283</v>
      </c>
      <c r="G8" s="24">
        <f t="shared" si="4"/>
        <v>614851</v>
      </c>
      <c r="I8" s="52">
        <v>514066</v>
      </c>
      <c r="J8" s="50">
        <v>562559</v>
      </c>
      <c r="K8" s="49">
        <v>587667</v>
      </c>
      <c r="L8" s="48">
        <v>589887</v>
      </c>
      <c r="M8" s="24">
        <v>515375</v>
      </c>
      <c r="N8" s="51">
        <v>77487</v>
      </c>
      <c r="O8" s="50">
        <v>126204</v>
      </c>
      <c r="P8" s="49">
        <v>126784</v>
      </c>
      <c r="Q8" s="48">
        <v>217396</v>
      </c>
      <c r="R8" s="24">
        <v>99476</v>
      </c>
    </row>
    <row r="9" spans="1:19" x14ac:dyDescent="0.25">
      <c r="B9" s="14" t="s">
        <v>11</v>
      </c>
      <c r="C9" s="14">
        <f t="shared" si="0"/>
        <v>860195</v>
      </c>
      <c r="D9" s="50">
        <f t="shared" si="1"/>
        <v>852564</v>
      </c>
      <c r="E9" s="49">
        <f t="shared" si="2"/>
        <v>865334</v>
      </c>
      <c r="F9" s="48">
        <f t="shared" si="3"/>
        <v>843271</v>
      </c>
      <c r="G9" s="24">
        <f t="shared" si="4"/>
        <v>672456</v>
      </c>
      <c r="I9" s="52">
        <v>720438</v>
      </c>
      <c r="J9" s="50">
        <v>663496</v>
      </c>
      <c r="K9" s="49">
        <v>698818</v>
      </c>
      <c r="L9" s="48">
        <v>616165</v>
      </c>
      <c r="M9" s="24">
        <v>563022</v>
      </c>
      <c r="N9" s="51">
        <v>139757</v>
      </c>
      <c r="O9" s="50">
        <v>189068</v>
      </c>
      <c r="P9" s="49">
        <v>166516</v>
      </c>
      <c r="Q9" s="48">
        <v>227106</v>
      </c>
      <c r="R9" s="24">
        <v>109434</v>
      </c>
    </row>
    <row r="10" spans="1:19" x14ac:dyDescent="0.25">
      <c r="B10" s="14" t="s">
        <v>10</v>
      </c>
      <c r="C10" s="14">
        <f t="shared" si="0"/>
        <v>862257</v>
      </c>
      <c r="D10" s="50">
        <f t="shared" si="1"/>
        <v>802903</v>
      </c>
      <c r="E10" s="49">
        <f t="shared" si="2"/>
        <v>910813</v>
      </c>
      <c r="F10" s="48">
        <f t="shared" si="3"/>
        <v>846417</v>
      </c>
      <c r="G10" s="24">
        <f t="shared" si="4"/>
        <v>809991</v>
      </c>
      <c r="I10" s="52">
        <v>724990</v>
      </c>
      <c r="J10" s="50">
        <v>619711</v>
      </c>
      <c r="K10" s="49">
        <v>735938</v>
      </c>
      <c r="L10" s="48">
        <v>600589</v>
      </c>
      <c r="M10" s="24">
        <v>653685</v>
      </c>
      <c r="N10" s="51">
        <v>137267</v>
      </c>
      <c r="O10" s="50">
        <v>183192</v>
      </c>
      <c r="P10" s="49">
        <v>174875</v>
      </c>
      <c r="Q10" s="48">
        <v>245828</v>
      </c>
      <c r="R10" s="24">
        <v>156306</v>
      </c>
    </row>
    <row r="11" spans="1:19" x14ac:dyDescent="0.25">
      <c r="B11" s="14" t="s">
        <v>9</v>
      </c>
      <c r="C11" s="14">
        <f t="shared" si="0"/>
        <v>822112</v>
      </c>
      <c r="D11" s="50">
        <f t="shared" si="1"/>
        <v>872874</v>
      </c>
      <c r="E11" s="49">
        <f t="shared" si="2"/>
        <v>1065077</v>
      </c>
      <c r="F11" s="48">
        <f t="shared" si="3"/>
        <v>924361</v>
      </c>
      <c r="G11" s="24">
        <f t="shared" si="4"/>
        <v>778656</v>
      </c>
      <c r="I11" s="52">
        <v>688182</v>
      </c>
      <c r="J11" s="50">
        <v>653161</v>
      </c>
      <c r="K11" s="49">
        <v>798081</v>
      </c>
      <c r="L11" s="48">
        <v>664943</v>
      </c>
      <c r="M11" s="24">
        <v>623627</v>
      </c>
      <c r="N11" s="51">
        <v>133930</v>
      </c>
      <c r="O11" s="50">
        <v>219713</v>
      </c>
      <c r="P11" s="49">
        <v>266996</v>
      </c>
      <c r="Q11" s="48">
        <v>259418</v>
      </c>
      <c r="R11" s="24">
        <v>155029</v>
      </c>
    </row>
    <row r="12" spans="1:19" x14ac:dyDescent="0.25">
      <c r="B12" s="14" t="s">
        <v>8</v>
      </c>
      <c r="C12" s="14">
        <f t="shared" si="0"/>
        <v>875323</v>
      </c>
      <c r="D12" s="50">
        <f t="shared" si="1"/>
        <v>822728</v>
      </c>
      <c r="E12" s="49">
        <f t="shared" si="2"/>
        <v>1057527</v>
      </c>
      <c r="F12" s="48">
        <f t="shared" si="3"/>
        <v>819069</v>
      </c>
      <c r="G12" s="24">
        <f t="shared" si="4"/>
        <v>752358</v>
      </c>
      <c r="I12" s="52">
        <v>690594</v>
      </c>
      <c r="J12" s="50">
        <v>626813</v>
      </c>
      <c r="K12" s="49">
        <v>775759</v>
      </c>
      <c r="L12" s="48">
        <v>599687</v>
      </c>
      <c r="M12" s="24">
        <v>605335</v>
      </c>
      <c r="N12" s="51">
        <v>184729</v>
      </c>
      <c r="O12" s="50">
        <v>195915</v>
      </c>
      <c r="P12" s="49">
        <v>281768</v>
      </c>
      <c r="Q12" s="48">
        <v>219382</v>
      </c>
      <c r="R12" s="24">
        <v>147023</v>
      </c>
    </row>
    <row r="13" spans="1:19" x14ac:dyDescent="0.25">
      <c r="B13" s="14" t="s">
        <v>7</v>
      </c>
      <c r="C13" s="14">
        <f t="shared" si="0"/>
        <v>807716</v>
      </c>
      <c r="D13" s="50">
        <f t="shared" si="1"/>
        <v>866956</v>
      </c>
      <c r="E13" s="49">
        <f t="shared" si="2"/>
        <v>1092273</v>
      </c>
      <c r="F13" s="48">
        <f t="shared" si="3"/>
        <v>906565</v>
      </c>
      <c r="G13" s="24">
        <f t="shared" si="4"/>
        <v>833626</v>
      </c>
      <c r="I13" s="52">
        <v>665987</v>
      </c>
      <c r="J13" s="50">
        <v>663664</v>
      </c>
      <c r="K13" s="49">
        <v>798222</v>
      </c>
      <c r="L13" s="48">
        <v>664005</v>
      </c>
      <c r="M13" s="24">
        <v>661390</v>
      </c>
      <c r="N13" s="51">
        <v>141729</v>
      </c>
      <c r="O13" s="50">
        <v>203292</v>
      </c>
      <c r="P13" s="49">
        <v>294051</v>
      </c>
      <c r="Q13" s="48">
        <v>242560</v>
      </c>
      <c r="R13" s="24">
        <v>172236</v>
      </c>
    </row>
    <row r="14" spans="1:19" x14ac:dyDescent="0.25">
      <c r="B14" s="14" t="s">
        <v>6</v>
      </c>
      <c r="C14" s="14">
        <f t="shared" si="0"/>
        <v>832234</v>
      </c>
      <c r="D14" s="50">
        <f t="shared" si="1"/>
        <v>887529</v>
      </c>
      <c r="E14" s="49">
        <f t="shared" si="2"/>
        <v>1081969</v>
      </c>
      <c r="F14" s="48">
        <f t="shared" si="3"/>
        <v>712719</v>
      </c>
      <c r="G14" s="24">
        <f t="shared" si="4"/>
        <v>0</v>
      </c>
      <c r="I14" s="52">
        <v>684413</v>
      </c>
      <c r="J14" s="50">
        <v>690445</v>
      </c>
      <c r="K14" s="49">
        <v>818518</v>
      </c>
      <c r="L14" s="48">
        <v>593851</v>
      </c>
      <c r="M14" s="24"/>
      <c r="N14" s="51">
        <v>147821</v>
      </c>
      <c r="O14" s="50">
        <v>197084</v>
      </c>
      <c r="P14" s="49">
        <v>263451</v>
      </c>
      <c r="Q14" s="48">
        <v>118868</v>
      </c>
      <c r="R14" s="24"/>
    </row>
    <row r="15" spans="1:19" x14ac:dyDescent="0.25">
      <c r="B15" s="14" t="s">
        <v>5</v>
      </c>
      <c r="C15" s="14">
        <f t="shared" si="0"/>
        <v>837308</v>
      </c>
      <c r="D15" s="50">
        <f t="shared" si="1"/>
        <v>844765</v>
      </c>
      <c r="E15" s="49">
        <f t="shared" si="2"/>
        <v>962020</v>
      </c>
      <c r="F15" s="48">
        <f t="shared" si="3"/>
        <v>640874</v>
      </c>
      <c r="G15" s="24">
        <f t="shared" si="4"/>
        <v>0</v>
      </c>
      <c r="I15" s="52">
        <v>702296</v>
      </c>
      <c r="J15" s="50">
        <v>648782</v>
      </c>
      <c r="K15" s="49">
        <v>712943</v>
      </c>
      <c r="L15" s="48">
        <v>516536</v>
      </c>
      <c r="M15" s="24"/>
      <c r="N15" s="51">
        <v>135012</v>
      </c>
      <c r="O15" s="50">
        <v>195983</v>
      </c>
      <c r="P15" s="49">
        <v>249077</v>
      </c>
      <c r="Q15" s="48">
        <v>124338</v>
      </c>
      <c r="R15" s="24"/>
    </row>
    <row r="16" spans="1:19" x14ac:dyDescent="0.25">
      <c r="B16" s="14" t="s">
        <v>4</v>
      </c>
      <c r="C16" s="14">
        <f t="shared" si="0"/>
        <v>891660</v>
      </c>
      <c r="D16" s="50">
        <f t="shared" si="1"/>
        <v>801981</v>
      </c>
      <c r="E16" s="49">
        <f t="shared" si="2"/>
        <v>971302</v>
      </c>
      <c r="F16" s="48">
        <f t="shared" si="3"/>
        <v>724434</v>
      </c>
      <c r="G16" s="24">
        <f t="shared" si="4"/>
        <v>0</v>
      </c>
      <c r="I16" s="52">
        <v>696680</v>
      </c>
      <c r="J16" s="50">
        <v>652504</v>
      </c>
      <c r="K16" s="49">
        <v>752628</v>
      </c>
      <c r="L16" s="48">
        <v>595761</v>
      </c>
      <c r="M16" s="24"/>
      <c r="N16" s="51">
        <v>194980</v>
      </c>
      <c r="O16" s="50">
        <v>149477</v>
      </c>
      <c r="P16" s="49">
        <v>218674</v>
      </c>
      <c r="Q16" s="48">
        <v>128673</v>
      </c>
      <c r="R16" s="24"/>
    </row>
    <row r="17" spans="1:18" x14ac:dyDescent="0.25">
      <c r="B17" s="14" t="s">
        <v>3</v>
      </c>
      <c r="C17" s="14">
        <f t="shared" si="0"/>
        <v>770974</v>
      </c>
      <c r="D17" s="50">
        <f t="shared" si="1"/>
        <v>784823</v>
      </c>
      <c r="E17" s="49">
        <f t="shared" si="2"/>
        <v>873227</v>
      </c>
      <c r="F17" s="48">
        <f t="shared" si="3"/>
        <v>656743</v>
      </c>
      <c r="G17" s="24">
        <f t="shared" si="4"/>
        <v>0</v>
      </c>
      <c r="I17" s="52">
        <v>662001</v>
      </c>
      <c r="J17" s="50">
        <v>627797</v>
      </c>
      <c r="K17" s="49">
        <v>664201</v>
      </c>
      <c r="L17" s="48">
        <v>530049</v>
      </c>
      <c r="M17" s="24"/>
      <c r="N17" s="51">
        <v>108973</v>
      </c>
      <c r="O17" s="50">
        <v>157026</v>
      </c>
      <c r="P17" s="49">
        <v>209026</v>
      </c>
      <c r="Q17" s="48">
        <v>126694</v>
      </c>
      <c r="R17" s="24"/>
    </row>
    <row r="18" spans="1:18" x14ac:dyDescent="0.25">
      <c r="B18" s="14" t="s">
        <v>2</v>
      </c>
      <c r="C18" s="14">
        <f t="shared" si="0"/>
        <v>804794</v>
      </c>
      <c r="D18" s="50">
        <f t="shared" si="1"/>
        <v>764141</v>
      </c>
      <c r="E18" s="49">
        <f t="shared" si="2"/>
        <v>816452</v>
      </c>
      <c r="F18" s="48">
        <f t="shared" si="3"/>
        <v>602359</v>
      </c>
      <c r="G18" s="24">
        <f t="shared" si="4"/>
        <v>0</v>
      </c>
      <c r="I18" s="52">
        <v>639034</v>
      </c>
      <c r="J18" s="50">
        <v>609084</v>
      </c>
      <c r="K18" s="49">
        <v>640133</v>
      </c>
      <c r="L18" s="48">
        <v>461549</v>
      </c>
      <c r="M18" s="24"/>
      <c r="N18" s="51">
        <v>165760</v>
      </c>
      <c r="O18" s="50">
        <v>155057</v>
      </c>
      <c r="P18" s="49">
        <v>176319</v>
      </c>
      <c r="Q18" s="48">
        <v>140810</v>
      </c>
      <c r="R18" s="24"/>
    </row>
    <row r="19" spans="1:18" x14ac:dyDescent="0.25">
      <c r="B19" s="37" t="s">
        <v>1</v>
      </c>
      <c r="C19" s="20">
        <f>SUM(C7:C18)</f>
        <v>9622031</v>
      </c>
      <c r="D19" s="20">
        <f>SUM(D7:D18)</f>
        <v>9643849</v>
      </c>
      <c r="E19" s="20">
        <f>SUM(E7:E18)</f>
        <v>11215295</v>
      </c>
      <c r="F19" s="20">
        <f>SUM(F7:F18)</f>
        <v>9314579</v>
      </c>
      <c r="G19" s="20">
        <f>SUM(G7:G18)</f>
        <v>5246186</v>
      </c>
      <c r="I19" s="20">
        <f t="shared" ref="I19:R19" si="5">SUM(I7:I18)</f>
        <v>7962989</v>
      </c>
      <c r="J19" s="20">
        <f t="shared" si="5"/>
        <v>7569254</v>
      </c>
      <c r="K19" s="20">
        <f t="shared" si="5"/>
        <v>8620739</v>
      </c>
      <c r="L19" s="20">
        <f t="shared" si="5"/>
        <v>7060458</v>
      </c>
      <c r="M19" s="20">
        <f t="shared" si="5"/>
        <v>4203871</v>
      </c>
      <c r="N19" s="20">
        <f t="shared" si="5"/>
        <v>1659042</v>
      </c>
      <c r="O19" s="20">
        <f t="shared" si="5"/>
        <v>2074595</v>
      </c>
      <c r="P19" s="20">
        <f t="shared" si="5"/>
        <v>2594556</v>
      </c>
      <c r="Q19" s="20">
        <f t="shared" si="5"/>
        <v>2254121</v>
      </c>
      <c r="R19" s="20">
        <f t="shared" si="5"/>
        <v>1042315</v>
      </c>
    </row>
    <row r="21" spans="1:18" x14ac:dyDescent="0.25">
      <c r="A21" s="19" t="s">
        <v>27</v>
      </c>
    </row>
    <row r="22" spans="1:18" x14ac:dyDescent="0.25">
      <c r="H22" s="47"/>
      <c r="I22" s="47"/>
    </row>
    <row r="23" spans="1:18" x14ac:dyDescent="0.25">
      <c r="B23" s="18"/>
      <c r="C23" s="57" t="s">
        <v>19</v>
      </c>
      <c r="D23" s="57"/>
      <c r="E23" s="57"/>
      <c r="F23" s="57"/>
      <c r="G23" s="57"/>
      <c r="I23" s="57" t="s">
        <v>26</v>
      </c>
      <c r="J23" s="57"/>
      <c r="K23" s="57"/>
      <c r="L23" s="57"/>
      <c r="M23" s="57"/>
      <c r="N23" s="57" t="s">
        <v>25</v>
      </c>
      <c r="O23" s="57"/>
      <c r="P23" s="57"/>
      <c r="Q23" s="57"/>
      <c r="R23" s="57"/>
    </row>
    <row r="24" spans="1:18" x14ac:dyDescent="0.25">
      <c r="B24" s="58" t="s">
        <v>16</v>
      </c>
      <c r="C24" s="17">
        <v>2022</v>
      </c>
      <c r="D24" s="17">
        <v>2023</v>
      </c>
      <c r="E24" s="17">
        <v>2024</v>
      </c>
      <c r="F24" s="17">
        <v>2025</v>
      </c>
      <c r="G24" s="17">
        <v>2026</v>
      </c>
      <c r="I24" s="17">
        <v>2022</v>
      </c>
      <c r="J24" s="17">
        <v>2023</v>
      </c>
      <c r="K24" s="17">
        <v>2024</v>
      </c>
      <c r="L24" s="17">
        <v>2025</v>
      </c>
      <c r="M24" s="17">
        <v>2026</v>
      </c>
      <c r="N24" s="17">
        <v>2022</v>
      </c>
      <c r="O24" s="17">
        <v>2023</v>
      </c>
      <c r="P24" s="17">
        <v>2024</v>
      </c>
      <c r="Q24" s="17">
        <v>2025</v>
      </c>
      <c r="R24" s="17">
        <v>2026</v>
      </c>
    </row>
    <row r="25" spans="1:18" x14ac:dyDescent="0.25">
      <c r="B25" s="58"/>
      <c r="C25" s="16" t="s">
        <v>23</v>
      </c>
      <c r="D25" s="16" t="s">
        <v>23</v>
      </c>
      <c r="E25" s="16" t="s">
        <v>23</v>
      </c>
      <c r="F25" s="16" t="s">
        <v>23</v>
      </c>
      <c r="G25" s="16" t="s">
        <v>23</v>
      </c>
      <c r="I25" s="16" t="s">
        <v>23</v>
      </c>
      <c r="J25" s="16" t="s">
        <v>23</v>
      </c>
      <c r="K25" s="16" t="s">
        <v>23</v>
      </c>
      <c r="L25" s="16" t="s">
        <v>23</v>
      </c>
      <c r="M25" s="16" t="s">
        <v>23</v>
      </c>
      <c r="N25" s="16" t="s">
        <v>23</v>
      </c>
      <c r="O25" s="16" t="s">
        <v>23</v>
      </c>
      <c r="P25" s="16" t="s">
        <v>23</v>
      </c>
      <c r="Q25" s="16" t="s">
        <v>23</v>
      </c>
      <c r="R25" s="16" t="s">
        <v>23</v>
      </c>
    </row>
    <row r="26" spans="1:18" x14ac:dyDescent="0.25">
      <c r="B26" s="14" t="s">
        <v>13</v>
      </c>
      <c r="C26" s="13">
        <f t="shared" ref="C26:C37" si="6">I26+N26</f>
        <v>0</v>
      </c>
      <c r="D26" s="35">
        <f t="shared" ref="D26:D37" si="7">J26+O26</f>
        <v>85625.449970000001</v>
      </c>
      <c r="E26" s="34">
        <f t="shared" ref="E26:E37" si="8">K26+P26</f>
        <v>74223.199999999997</v>
      </c>
      <c r="F26" s="33">
        <f t="shared" ref="F26:F37" si="9">L26+Q26</f>
        <v>82447.5</v>
      </c>
      <c r="G26" s="24">
        <f t="shared" ref="G26:G37" si="10">M26+R26</f>
        <v>82159.8</v>
      </c>
      <c r="I26" s="45"/>
      <c r="J26" s="35">
        <v>43054</v>
      </c>
      <c r="K26" s="34">
        <v>32258</v>
      </c>
      <c r="L26" s="39">
        <v>41747.800000000003</v>
      </c>
      <c r="M26" s="24">
        <v>40594.800000000003</v>
      </c>
      <c r="N26" s="44"/>
      <c r="O26" s="35">
        <v>42571.449970000001</v>
      </c>
      <c r="P26" s="34">
        <v>41965.2</v>
      </c>
      <c r="Q26" s="33">
        <v>40699.699999999997</v>
      </c>
      <c r="R26" s="24">
        <v>41565</v>
      </c>
    </row>
    <row r="27" spans="1:18" x14ac:dyDescent="0.25">
      <c r="B27" s="14" t="s">
        <v>12</v>
      </c>
      <c r="C27" s="13">
        <f t="shared" si="6"/>
        <v>0</v>
      </c>
      <c r="D27" s="35">
        <f t="shared" si="7"/>
        <v>78964.159169999999</v>
      </c>
      <c r="E27" s="34">
        <f t="shared" si="8"/>
        <v>94322.5</v>
      </c>
      <c r="F27" s="33">
        <f t="shared" si="9"/>
        <v>86645.8</v>
      </c>
      <c r="G27" s="24">
        <f t="shared" si="10"/>
        <v>86847.5</v>
      </c>
      <c r="I27" s="45"/>
      <c r="J27" s="35">
        <v>40810</v>
      </c>
      <c r="K27" s="34">
        <v>46197.80000000001</v>
      </c>
      <c r="L27" s="39">
        <v>43601.5</v>
      </c>
      <c r="M27" s="24">
        <v>43185.2</v>
      </c>
      <c r="N27" s="44"/>
      <c r="O27" s="35">
        <v>38154.159169999999</v>
      </c>
      <c r="P27" s="34">
        <v>48124.7</v>
      </c>
      <c r="Q27" s="33">
        <v>43044.3</v>
      </c>
      <c r="R27" s="24">
        <v>43662.3</v>
      </c>
    </row>
    <row r="28" spans="1:18" x14ac:dyDescent="0.25">
      <c r="B28" s="14" t="s">
        <v>11</v>
      </c>
      <c r="C28" s="13">
        <f t="shared" si="6"/>
        <v>0</v>
      </c>
      <c r="D28" s="35">
        <f t="shared" si="7"/>
        <v>98543.529680000007</v>
      </c>
      <c r="E28" s="34">
        <f t="shared" si="8"/>
        <v>100999.7</v>
      </c>
      <c r="F28" s="33">
        <f t="shared" si="9"/>
        <v>91612</v>
      </c>
      <c r="G28" s="24">
        <f t="shared" si="10"/>
        <v>103598.2</v>
      </c>
      <c r="I28" s="45"/>
      <c r="J28" s="35">
        <v>49841.2</v>
      </c>
      <c r="K28" s="34">
        <v>50368.6</v>
      </c>
      <c r="L28" s="39">
        <v>46339.199999999997</v>
      </c>
      <c r="M28" s="24">
        <v>51329.7</v>
      </c>
      <c r="N28" s="44"/>
      <c r="O28" s="35">
        <v>48702.329680000003</v>
      </c>
      <c r="P28" s="34">
        <v>50631.1</v>
      </c>
      <c r="Q28" s="33">
        <v>45272.800000000003</v>
      </c>
      <c r="R28" s="46">
        <v>52268.5</v>
      </c>
    </row>
    <row r="29" spans="1:18" x14ac:dyDescent="0.25">
      <c r="B29" s="14" t="s">
        <v>10</v>
      </c>
      <c r="C29" s="13">
        <f t="shared" si="6"/>
        <v>0</v>
      </c>
      <c r="D29" s="35">
        <f t="shared" si="7"/>
        <v>97294.755680000002</v>
      </c>
      <c r="E29" s="34">
        <f t="shared" si="8"/>
        <v>105397.70000000001</v>
      </c>
      <c r="F29" s="33">
        <f t="shared" si="9"/>
        <v>95427.299999999988</v>
      </c>
      <c r="G29" s="24">
        <f t="shared" si="10"/>
        <v>88921.7</v>
      </c>
      <c r="I29" s="45"/>
      <c r="J29" s="35">
        <v>49247.8</v>
      </c>
      <c r="K29" s="34">
        <v>59778.500000000007</v>
      </c>
      <c r="L29" s="39">
        <v>48194.2</v>
      </c>
      <c r="M29" s="24">
        <v>44538.2</v>
      </c>
      <c r="N29" s="44"/>
      <c r="O29" s="35">
        <v>48046.955679999999</v>
      </c>
      <c r="P29" s="34">
        <v>45619.200000000004</v>
      </c>
      <c r="Q29" s="33">
        <v>47233.1</v>
      </c>
      <c r="R29" s="24">
        <v>44383.5</v>
      </c>
    </row>
    <row r="30" spans="1:18" x14ac:dyDescent="0.25">
      <c r="B30" s="14" t="s">
        <v>9</v>
      </c>
      <c r="C30" s="13">
        <f t="shared" si="6"/>
        <v>0</v>
      </c>
      <c r="D30" s="35">
        <f t="shared" si="7"/>
        <v>107354.42577</v>
      </c>
      <c r="E30" s="34">
        <f t="shared" si="8"/>
        <v>87791.599999999991</v>
      </c>
      <c r="F30" s="33">
        <f t="shared" si="9"/>
        <v>88834.200000000012</v>
      </c>
      <c r="G30" s="24">
        <f t="shared" si="10"/>
        <v>90476.7</v>
      </c>
      <c r="I30" s="45"/>
      <c r="J30" s="35">
        <v>53892.7</v>
      </c>
      <c r="K30" s="34">
        <v>43925.399999999994</v>
      </c>
      <c r="L30" s="39">
        <v>44824.4</v>
      </c>
      <c r="M30" s="55">
        <v>45545</v>
      </c>
      <c r="N30" s="44"/>
      <c r="O30" s="35">
        <v>53461.725769999997</v>
      </c>
      <c r="P30" s="34">
        <v>43866.2</v>
      </c>
      <c r="Q30" s="33">
        <v>44009.8</v>
      </c>
      <c r="R30" s="24">
        <v>44931.7</v>
      </c>
    </row>
    <row r="31" spans="1:18" x14ac:dyDescent="0.25">
      <c r="B31" s="14" t="s">
        <v>8</v>
      </c>
      <c r="C31" s="13">
        <f t="shared" si="6"/>
        <v>0</v>
      </c>
      <c r="D31" s="35">
        <f t="shared" si="7"/>
        <v>96057.424880000006</v>
      </c>
      <c r="E31" s="34">
        <f t="shared" si="8"/>
        <v>87180</v>
      </c>
      <c r="F31" s="33">
        <f t="shared" si="9"/>
        <v>87552.5</v>
      </c>
      <c r="G31" s="24">
        <f t="shared" si="10"/>
        <v>83423.200000000012</v>
      </c>
      <c r="I31" s="45"/>
      <c r="J31" s="35">
        <v>49060</v>
      </c>
      <c r="K31" s="34">
        <v>43648.1</v>
      </c>
      <c r="L31" s="39">
        <v>44069.9</v>
      </c>
      <c r="M31" s="24">
        <v>42012.4</v>
      </c>
      <c r="N31" s="44"/>
      <c r="O31" s="35">
        <v>46997.424879999999</v>
      </c>
      <c r="P31" s="34">
        <v>43531.9</v>
      </c>
      <c r="Q31" s="33">
        <v>43482.6</v>
      </c>
      <c r="R31" s="24">
        <v>41410.800000000003</v>
      </c>
    </row>
    <row r="32" spans="1:18" x14ac:dyDescent="0.25">
      <c r="B32" s="14" t="s">
        <v>7</v>
      </c>
      <c r="C32" s="13">
        <f t="shared" si="6"/>
        <v>0</v>
      </c>
      <c r="D32" s="35">
        <f t="shared" si="7"/>
        <v>89458</v>
      </c>
      <c r="E32" s="34">
        <f t="shared" si="8"/>
        <v>93285.799999999988</v>
      </c>
      <c r="F32" s="33">
        <f t="shared" si="9"/>
        <v>86841.8</v>
      </c>
      <c r="G32" s="24">
        <f t="shared" si="10"/>
        <v>81822.600000000006</v>
      </c>
      <c r="I32" s="45"/>
      <c r="J32" s="35">
        <v>44671.3</v>
      </c>
      <c r="K32" s="34">
        <v>47154.7</v>
      </c>
      <c r="L32" s="39">
        <v>44119.5</v>
      </c>
      <c r="M32" s="24">
        <v>40994.199999999997</v>
      </c>
      <c r="N32" s="44"/>
      <c r="O32" s="35">
        <v>44786.700000000004</v>
      </c>
      <c r="P32" s="34">
        <v>46131.1</v>
      </c>
      <c r="Q32" s="33">
        <v>42722.3</v>
      </c>
      <c r="R32" s="24">
        <v>40828.400000000001</v>
      </c>
    </row>
    <row r="33" spans="1:18" x14ac:dyDescent="0.25">
      <c r="B33" s="14" t="s">
        <v>6</v>
      </c>
      <c r="C33" s="13">
        <f t="shared" si="6"/>
        <v>58.6</v>
      </c>
      <c r="D33" s="35">
        <f t="shared" si="7"/>
        <v>88762.200000000012</v>
      </c>
      <c r="E33" s="34">
        <f t="shared" si="8"/>
        <v>88591.3</v>
      </c>
      <c r="F33" s="33">
        <f t="shared" si="9"/>
        <v>93476.4</v>
      </c>
      <c r="G33" s="24">
        <f t="shared" si="10"/>
        <v>0</v>
      </c>
      <c r="I33" s="43">
        <v>58.6</v>
      </c>
      <c r="J33" s="35">
        <v>44592.3</v>
      </c>
      <c r="K33" s="34">
        <v>44912.4</v>
      </c>
      <c r="L33" s="39">
        <v>47729.9</v>
      </c>
      <c r="M33" s="24"/>
      <c r="N33" s="44"/>
      <c r="O33" s="35">
        <v>44169.9</v>
      </c>
      <c r="P33" s="34">
        <v>43678.9</v>
      </c>
      <c r="Q33" s="33">
        <v>45746.5</v>
      </c>
      <c r="R33" s="24"/>
    </row>
    <row r="34" spans="1:18" x14ac:dyDescent="0.25">
      <c r="B34" s="14" t="s">
        <v>5</v>
      </c>
      <c r="C34" s="13">
        <f t="shared" si="6"/>
        <v>67</v>
      </c>
      <c r="D34" s="35">
        <f t="shared" si="7"/>
        <v>91477.1</v>
      </c>
      <c r="E34" s="34">
        <f t="shared" si="8"/>
        <v>89538.1</v>
      </c>
      <c r="F34" s="33">
        <f t="shared" si="9"/>
        <v>89774.200000000012</v>
      </c>
      <c r="G34" s="24">
        <f t="shared" si="10"/>
        <v>0</v>
      </c>
      <c r="I34" s="43"/>
      <c r="J34" s="35">
        <v>46138.6</v>
      </c>
      <c r="K34" s="34">
        <v>45228.7</v>
      </c>
      <c r="L34" s="39">
        <v>44799.8</v>
      </c>
      <c r="M34" s="24"/>
      <c r="N34" s="42">
        <v>67</v>
      </c>
      <c r="O34" s="35">
        <v>45338.5</v>
      </c>
      <c r="P34" s="34">
        <v>44309.4</v>
      </c>
      <c r="Q34" s="33">
        <v>44974.400000000001</v>
      </c>
      <c r="R34" s="24"/>
    </row>
    <row r="35" spans="1:18" x14ac:dyDescent="0.25">
      <c r="B35" s="14" t="s">
        <v>4</v>
      </c>
      <c r="C35" s="13">
        <f t="shared" si="6"/>
        <v>31881.800000000003</v>
      </c>
      <c r="D35" s="35">
        <f t="shared" si="7"/>
        <v>97369.1</v>
      </c>
      <c r="E35" s="34">
        <f t="shared" si="8"/>
        <v>92617.9</v>
      </c>
      <c r="F35" s="33">
        <f t="shared" si="9"/>
        <v>96487.1</v>
      </c>
      <c r="G35" s="24">
        <f t="shared" si="10"/>
        <v>0</v>
      </c>
      <c r="I35" s="40">
        <v>17744.2</v>
      </c>
      <c r="J35" s="35">
        <v>49180.5</v>
      </c>
      <c r="K35" s="34">
        <v>46567.6</v>
      </c>
      <c r="L35" s="39">
        <v>47873.8</v>
      </c>
      <c r="M35" s="24"/>
      <c r="N35" s="38">
        <v>14137.6</v>
      </c>
      <c r="O35" s="35">
        <v>48188.6</v>
      </c>
      <c r="P35" s="34">
        <v>46050.3</v>
      </c>
      <c r="Q35" s="33">
        <v>48613.3</v>
      </c>
      <c r="R35" s="24"/>
    </row>
    <row r="36" spans="1:18" x14ac:dyDescent="0.25">
      <c r="B36" s="14" t="s">
        <v>3</v>
      </c>
      <c r="C36" s="13">
        <f t="shared" si="6"/>
        <v>73810.7</v>
      </c>
      <c r="D36" s="35">
        <f t="shared" si="7"/>
        <v>83084.600000000006</v>
      </c>
      <c r="E36" s="34">
        <f t="shared" si="8"/>
        <v>78767</v>
      </c>
      <c r="F36" s="33">
        <f t="shared" si="9"/>
        <v>76319.5</v>
      </c>
      <c r="G36" s="24">
        <f t="shared" si="10"/>
        <v>0</v>
      </c>
      <c r="I36" s="41">
        <v>41914.199999999997</v>
      </c>
      <c r="J36" s="35">
        <v>41489.300000000003</v>
      </c>
      <c r="K36" s="34">
        <v>39776.5</v>
      </c>
      <c r="L36" s="39">
        <v>37819.9</v>
      </c>
      <c r="M36" s="24"/>
      <c r="N36" s="38">
        <v>31896.5</v>
      </c>
      <c r="O36" s="35">
        <v>41595.299999999996</v>
      </c>
      <c r="P36" s="34">
        <v>38990.5</v>
      </c>
      <c r="Q36" s="33">
        <v>38499.599999999999</v>
      </c>
      <c r="R36" s="24"/>
    </row>
    <row r="37" spans="1:18" x14ac:dyDescent="0.25">
      <c r="B37" s="14" t="s">
        <v>2</v>
      </c>
      <c r="C37" s="13">
        <f t="shared" si="6"/>
        <v>73232</v>
      </c>
      <c r="D37" s="35">
        <f t="shared" si="7"/>
        <v>67748.3</v>
      </c>
      <c r="E37" s="34">
        <f t="shared" si="8"/>
        <v>73243.7</v>
      </c>
      <c r="F37" s="33">
        <f t="shared" si="9"/>
        <v>78925.399999999994</v>
      </c>
      <c r="G37" s="24">
        <f t="shared" si="10"/>
        <v>0</v>
      </c>
      <c r="I37" s="40">
        <v>40752.1</v>
      </c>
      <c r="J37" s="35">
        <v>28042</v>
      </c>
      <c r="K37" s="34">
        <v>36724.6</v>
      </c>
      <c r="L37" s="39">
        <v>39144.800000000003</v>
      </c>
      <c r="M37" s="24"/>
      <c r="N37" s="38">
        <v>32479.9</v>
      </c>
      <c r="O37" s="35">
        <v>39706.300000000003</v>
      </c>
      <c r="P37" s="34">
        <v>36519.1</v>
      </c>
      <c r="Q37" s="33">
        <v>39780.6</v>
      </c>
      <c r="R37" s="24"/>
    </row>
    <row r="38" spans="1:18" x14ac:dyDescent="0.25">
      <c r="B38" s="37" t="s">
        <v>1</v>
      </c>
      <c r="C38" s="20">
        <f>SUM(C26:C37)</f>
        <v>179050.1</v>
      </c>
      <c r="D38" s="20">
        <f>SUM(D26:D37)</f>
        <v>1081739.0451499999</v>
      </c>
      <c r="E38" s="20">
        <f>SUM(E26:E37)</f>
        <v>1065958.5</v>
      </c>
      <c r="F38" s="20">
        <f>SUM(F26:F37)</f>
        <v>1054343.7000000002</v>
      </c>
      <c r="G38" s="20">
        <f>SUM(G26:G37)</f>
        <v>617249.70000000007</v>
      </c>
      <c r="I38" s="20">
        <f t="shared" ref="I38:R38" si="11">SUM(I26:I37)</f>
        <v>100469.1</v>
      </c>
      <c r="J38" s="20">
        <f t="shared" si="11"/>
        <v>540019.69999999995</v>
      </c>
      <c r="K38" s="20">
        <f t="shared" si="11"/>
        <v>536540.9</v>
      </c>
      <c r="L38" s="20">
        <f t="shared" si="11"/>
        <v>530264.70000000007</v>
      </c>
      <c r="M38" s="20">
        <f t="shared" si="11"/>
        <v>308199.50000000006</v>
      </c>
      <c r="N38" s="20">
        <f t="shared" si="11"/>
        <v>78581</v>
      </c>
      <c r="O38" s="20">
        <f t="shared" si="11"/>
        <v>541719.34514999995</v>
      </c>
      <c r="P38" s="20">
        <f t="shared" si="11"/>
        <v>529417.60000000009</v>
      </c>
      <c r="Q38" s="20">
        <f t="shared" si="11"/>
        <v>524078.99999999994</v>
      </c>
      <c r="R38" s="20">
        <f t="shared" si="11"/>
        <v>309050.2</v>
      </c>
    </row>
    <row r="40" spans="1:18" x14ac:dyDescent="0.25">
      <c r="A40" s="19" t="s">
        <v>24</v>
      </c>
      <c r="F40" s="36">
        <f>F38/(F19+F38)</f>
        <v>0.10168305141285316</v>
      </c>
    </row>
    <row r="42" spans="1:18" x14ac:dyDescent="0.25">
      <c r="B42" s="18"/>
      <c r="C42" s="57" t="s">
        <v>19</v>
      </c>
      <c r="D42" s="57"/>
      <c r="E42" s="57"/>
      <c r="F42" s="57"/>
      <c r="G42" s="57"/>
      <c r="I42" s="57" t="s">
        <v>18</v>
      </c>
      <c r="J42" s="57"/>
      <c r="K42" s="57"/>
      <c r="L42" s="57"/>
      <c r="M42" s="57"/>
      <c r="N42" s="57" t="s">
        <v>17</v>
      </c>
      <c r="O42" s="57"/>
      <c r="P42" s="57"/>
      <c r="Q42" s="57"/>
      <c r="R42" s="57"/>
    </row>
    <row r="43" spans="1:18" x14ac:dyDescent="0.25">
      <c r="B43" s="58" t="s">
        <v>16</v>
      </c>
      <c r="C43" s="17">
        <v>2022</v>
      </c>
      <c r="D43" s="17">
        <v>2023</v>
      </c>
      <c r="E43" s="17">
        <v>2024</v>
      </c>
      <c r="F43" s="17">
        <v>2025</v>
      </c>
      <c r="G43" s="17">
        <v>2026</v>
      </c>
      <c r="I43" s="17">
        <v>2022</v>
      </c>
      <c r="J43" s="17">
        <v>2023</v>
      </c>
      <c r="K43" s="17">
        <v>2024</v>
      </c>
      <c r="L43" s="17">
        <v>2025</v>
      </c>
      <c r="M43" s="17">
        <v>2026</v>
      </c>
      <c r="N43" s="17">
        <v>2022</v>
      </c>
      <c r="O43" s="17">
        <v>2023</v>
      </c>
      <c r="P43" s="17">
        <v>2024</v>
      </c>
      <c r="Q43" s="17">
        <v>2025</v>
      </c>
      <c r="R43" s="17">
        <v>2026</v>
      </c>
    </row>
    <row r="44" spans="1:18" x14ac:dyDescent="0.25">
      <c r="B44" s="58"/>
      <c r="C44" s="16" t="s">
        <v>23</v>
      </c>
      <c r="D44" s="16" t="s">
        <v>23</v>
      </c>
      <c r="E44" s="16" t="s">
        <v>23</v>
      </c>
      <c r="F44" s="16" t="s">
        <v>23</v>
      </c>
      <c r="G44" s="16" t="s">
        <v>23</v>
      </c>
      <c r="I44" s="16" t="s">
        <v>23</v>
      </c>
      <c r="J44" s="16" t="s">
        <v>23</v>
      </c>
      <c r="K44" s="16" t="s">
        <v>23</v>
      </c>
      <c r="L44" s="16" t="s">
        <v>23</v>
      </c>
      <c r="M44" s="16" t="s">
        <v>23</v>
      </c>
      <c r="N44" s="16" t="s">
        <v>23</v>
      </c>
      <c r="O44" s="16" t="s">
        <v>23</v>
      </c>
      <c r="P44" s="16" t="s">
        <v>23</v>
      </c>
      <c r="Q44" s="16" t="s">
        <v>23</v>
      </c>
      <c r="R44" s="16" t="s">
        <v>23</v>
      </c>
    </row>
    <row r="45" spans="1:18" x14ac:dyDescent="0.25">
      <c r="B45" s="14" t="s">
        <v>13</v>
      </c>
      <c r="C45" s="13">
        <f t="shared" ref="C45:G56" si="12">C26+C7</f>
        <v>665905</v>
      </c>
      <c r="D45" s="35">
        <f t="shared" si="12"/>
        <v>739447.44996999996</v>
      </c>
      <c r="E45" s="34">
        <f t="shared" si="12"/>
        <v>879073.2</v>
      </c>
      <c r="F45" s="33">
        <f t="shared" si="12"/>
        <v>912931.5</v>
      </c>
      <c r="G45" s="24">
        <f t="shared" si="12"/>
        <v>866407.8</v>
      </c>
      <c r="I45" s="12">
        <f t="shared" ref="I45:R45" si="13">I26+I7</f>
        <v>574308</v>
      </c>
      <c r="J45" s="35">
        <f t="shared" si="13"/>
        <v>594292</v>
      </c>
      <c r="K45" s="34">
        <f t="shared" si="13"/>
        <v>670089</v>
      </c>
      <c r="L45" s="33">
        <f t="shared" si="13"/>
        <v>669183.80000000005</v>
      </c>
      <c r="M45" s="24">
        <f t="shared" si="13"/>
        <v>622031.80000000005</v>
      </c>
      <c r="N45" s="12">
        <f t="shared" si="13"/>
        <v>91597</v>
      </c>
      <c r="O45" s="35">
        <f t="shared" si="13"/>
        <v>145155.44997000002</v>
      </c>
      <c r="P45" s="34">
        <f t="shared" si="13"/>
        <v>208984.2</v>
      </c>
      <c r="Q45" s="33">
        <f t="shared" si="13"/>
        <v>243747.7</v>
      </c>
      <c r="R45" s="24">
        <f t="shared" si="13"/>
        <v>244376</v>
      </c>
    </row>
    <row r="46" spans="1:18" x14ac:dyDescent="0.25">
      <c r="B46" s="14" t="s">
        <v>12</v>
      </c>
      <c r="C46" s="13">
        <f t="shared" si="12"/>
        <v>591553</v>
      </c>
      <c r="D46" s="35">
        <f t="shared" si="12"/>
        <v>767727.15917</v>
      </c>
      <c r="E46" s="34">
        <f t="shared" si="12"/>
        <v>808773.5</v>
      </c>
      <c r="F46" s="33">
        <f t="shared" si="12"/>
        <v>893928.8</v>
      </c>
      <c r="G46" s="24">
        <f t="shared" si="12"/>
        <v>701698.5</v>
      </c>
      <c r="I46" s="12">
        <f t="shared" ref="I46:R46" si="14">I27+I8</f>
        <v>514066</v>
      </c>
      <c r="J46" s="35">
        <f t="shared" si="14"/>
        <v>603369</v>
      </c>
      <c r="K46" s="34">
        <f t="shared" si="14"/>
        <v>633864.80000000005</v>
      </c>
      <c r="L46" s="33">
        <f t="shared" si="14"/>
        <v>633488.5</v>
      </c>
      <c r="M46" s="24">
        <f t="shared" si="14"/>
        <v>558560.19999999995</v>
      </c>
      <c r="N46" s="12">
        <f t="shared" si="14"/>
        <v>77487</v>
      </c>
      <c r="O46" s="35">
        <f t="shared" si="14"/>
        <v>164358.15917</v>
      </c>
      <c r="P46" s="34">
        <f t="shared" si="14"/>
        <v>174908.7</v>
      </c>
      <c r="Q46" s="33">
        <f t="shared" si="14"/>
        <v>260440.3</v>
      </c>
      <c r="R46" s="24">
        <f t="shared" si="14"/>
        <v>143138.29999999999</v>
      </c>
    </row>
    <row r="47" spans="1:18" x14ac:dyDescent="0.25">
      <c r="B47" s="14" t="s">
        <v>11</v>
      </c>
      <c r="C47" s="13">
        <f t="shared" si="12"/>
        <v>860195</v>
      </c>
      <c r="D47" s="35">
        <f t="shared" si="12"/>
        <v>951107.52968000004</v>
      </c>
      <c r="E47" s="34">
        <f t="shared" si="12"/>
        <v>966333.7</v>
      </c>
      <c r="F47" s="33">
        <f t="shared" si="12"/>
        <v>934883</v>
      </c>
      <c r="G47" s="24">
        <f t="shared" si="12"/>
        <v>776054.2</v>
      </c>
      <c r="I47" s="12">
        <f t="shared" ref="I47:R47" si="15">I28+I9</f>
        <v>720438</v>
      </c>
      <c r="J47" s="35">
        <f t="shared" si="15"/>
        <v>713337.2</v>
      </c>
      <c r="K47" s="34">
        <f t="shared" si="15"/>
        <v>749186.6</v>
      </c>
      <c r="L47" s="33">
        <f t="shared" si="15"/>
        <v>662504.19999999995</v>
      </c>
      <c r="M47" s="24">
        <f t="shared" si="15"/>
        <v>614351.69999999995</v>
      </c>
      <c r="N47" s="12">
        <f t="shared" si="15"/>
        <v>139757</v>
      </c>
      <c r="O47" s="35">
        <f t="shared" si="15"/>
        <v>237770.32968</v>
      </c>
      <c r="P47" s="34">
        <f t="shared" si="15"/>
        <v>217147.1</v>
      </c>
      <c r="Q47" s="33">
        <f t="shared" si="15"/>
        <v>272378.8</v>
      </c>
      <c r="R47" s="24">
        <f t="shared" si="15"/>
        <v>161702.5</v>
      </c>
    </row>
    <row r="48" spans="1:18" x14ac:dyDescent="0.25">
      <c r="B48" s="14" t="s">
        <v>10</v>
      </c>
      <c r="C48" s="13">
        <f t="shared" si="12"/>
        <v>862257</v>
      </c>
      <c r="D48" s="35">
        <f t="shared" si="12"/>
        <v>900197.75567999994</v>
      </c>
      <c r="E48" s="34">
        <f t="shared" si="12"/>
        <v>1016210.7</v>
      </c>
      <c r="F48" s="33">
        <f t="shared" si="12"/>
        <v>941844.3</v>
      </c>
      <c r="G48" s="24">
        <f t="shared" si="12"/>
        <v>898912.7</v>
      </c>
      <c r="I48" s="12">
        <f t="shared" ref="I48:R48" si="16">I29+I10</f>
        <v>724990</v>
      </c>
      <c r="J48" s="35">
        <f t="shared" si="16"/>
        <v>668958.80000000005</v>
      </c>
      <c r="K48" s="34">
        <f t="shared" si="16"/>
        <v>795716.5</v>
      </c>
      <c r="L48" s="33">
        <f t="shared" si="16"/>
        <v>648783.19999999995</v>
      </c>
      <c r="M48" s="24">
        <f t="shared" si="16"/>
        <v>698223.2</v>
      </c>
      <c r="N48" s="12">
        <f t="shared" si="16"/>
        <v>137267</v>
      </c>
      <c r="O48" s="35">
        <f t="shared" si="16"/>
        <v>231238.95568000001</v>
      </c>
      <c r="P48" s="34">
        <f t="shared" si="16"/>
        <v>220494.2</v>
      </c>
      <c r="Q48" s="33">
        <f t="shared" si="16"/>
        <v>293061.09999999998</v>
      </c>
      <c r="R48" s="24">
        <f t="shared" si="16"/>
        <v>200689.5</v>
      </c>
    </row>
    <row r="49" spans="1:18" x14ac:dyDescent="0.25">
      <c r="B49" s="14" t="s">
        <v>9</v>
      </c>
      <c r="C49" s="13">
        <f t="shared" si="12"/>
        <v>822112</v>
      </c>
      <c r="D49" s="35">
        <f t="shared" si="12"/>
        <v>980228.42576999997</v>
      </c>
      <c r="E49" s="34">
        <f t="shared" si="12"/>
        <v>1152868.6000000001</v>
      </c>
      <c r="F49" s="33">
        <f t="shared" si="12"/>
        <v>1013195.2</v>
      </c>
      <c r="G49" s="24">
        <f t="shared" si="12"/>
        <v>869132.7</v>
      </c>
      <c r="I49" s="12">
        <f t="shared" ref="I49:R49" si="17">I30+I11</f>
        <v>688182</v>
      </c>
      <c r="J49" s="35">
        <f t="shared" si="17"/>
        <v>707053.7</v>
      </c>
      <c r="K49" s="34">
        <f t="shared" si="17"/>
        <v>842006.4</v>
      </c>
      <c r="L49" s="33">
        <f t="shared" si="17"/>
        <v>709767.4</v>
      </c>
      <c r="M49" s="24">
        <f t="shared" si="17"/>
        <v>669172</v>
      </c>
      <c r="N49" s="12">
        <f t="shared" si="17"/>
        <v>133930</v>
      </c>
      <c r="O49" s="35">
        <f t="shared" si="17"/>
        <v>273174.72577000002</v>
      </c>
      <c r="P49" s="34">
        <f t="shared" si="17"/>
        <v>310862.2</v>
      </c>
      <c r="Q49" s="33">
        <f t="shared" si="17"/>
        <v>303427.8</v>
      </c>
      <c r="R49" s="24">
        <f t="shared" si="17"/>
        <v>199960.7</v>
      </c>
    </row>
    <row r="50" spans="1:18" x14ac:dyDescent="0.25">
      <c r="B50" s="14" t="s">
        <v>8</v>
      </c>
      <c r="C50" s="13">
        <f t="shared" si="12"/>
        <v>875323</v>
      </c>
      <c r="D50" s="35">
        <f t="shared" si="12"/>
        <v>918785.42488000006</v>
      </c>
      <c r="E50" s="34">
        <f t="shared" si="12"/>
        <v>1144707</v>
      </c>
      <c r="F50" s="33">
        <f t="shared" si="12"/>
        <v>906621.5</v>
      </c>
      <c r="G50" s="24">
        <f t="shared" si="12"/>
        <v>835781.2</v>
      </c>
      <c r="I50" s="12">
        <f t="shared" ref="I50:R50" si="18">I31+I12</f>
        <v>690594</v>
      </c>
      <c r="J50" s="35">
        <f t="shared" si="18"/>
        <v>675873</v>
      </c>
      <c r="K50" s="34">
        <f t="shared" si="18"/>
        <v>819407.1</v>
      </c>
      <c r="L50" s="33">
        <f t="shared" si="18"/>
        <v>643756.9</v>
      </c>
      <c r="M50" s="24">
        <f t="shared" si="18"/>
        <v>647347.4</v>
      </c>
      <c r="N50" s="12">
        <f t="shared" si="18"/>
        <v>184729</v>
      </c>
      <c r="O50" s="35">
        <f t="shared" si="18"/>
        <v>242912.42488000001</v>
      </c>
      <c r="P50" s="34">
        <f t="shared" si="18"/>
        <v>325299.90000000002</v>
      </c>
      <c r="Q50" s="33">
        <f t="shared" si="18"/>
        <v>262864.59999999998</v>
      </c>
      <c r="R50" s="24">
        <f t="shared" si="18"/>
        <v>188433.8</v>
      </c>
    </row>
    <row r="51" spans="1:18" x14ac:dyDescent="0.25">
      <c r="B51" s="14" t="s">
        <v>7</v>
      </c>
      <c r="C51" s="13">
        <f t="shared" si="12"/>
        <v>807716</v>
      </c>
      <c r="D51" s="35">
        <f t="shared" si="12"/>
        <v>956414</v>
      </c>
      <c r="E51" s="34">
        <f t="shared" si="12"/>
        <v>1185558.8</v>
      </c>
      <c r="F51" s="33">
        <f t="shared" si="12"/>
        <v>993406.8</v>
      </c>
      <c r="G51" s="24">
        <f t="shared" si="12"/>
        <v>915448.6</v>
      </c>
      <c r="I51" s="12">
        <f t="shared" ref="I51:R51" si="19">I32+I13</f>
        <v>665987</v>
      </c>
      <c r="J51" s="35">
        <f t="shared" si="19"/>
        <v>708335.3</v>
      </c>
      <c r="K51" s="34">
        <f t="shared" si="19"/>
        <v>845376.7</v>
      </c>
      <c r="L51" s="33">
        <f t="shared" si="19"/>
        <v>708124.5</v>
      </c>
      <c r="M51" s="24">
        <f t="shared" si="19"/>
        <v>702384.2</v>
      </c>
      <c r="N51" s="12">
        <f t="shared" si="19"/>
        <v>141729</v>
      </c>
      <c r="O51" s="35">
        <f t="shared" si="19"/>
        <v>248078.7</v>
      </c>
      <c r="P51" s="34">
        <f t="shared" si="19"/>
        <v>340182.1</v>
      </c>
      <c r="Q51" s="33">
        <f t="shared" si="19"/>
        <v>285282.3</v>
      </c>
      <c r="R51" s="24">
        <f t="shared" si="19"/>
        <v>213064.4</v>
      </c>
    </row>
    <row r="52" spans="1:18" x14ac:dyDescent="0.25">
      <c r="B52" s="14" t="s">
        <v>6</v>
      </c>
      <c r="C52" s="13">
        <f t="shared" si="12"/>
        <v>832292.6</v>
      </c>
      <c r="D52" s="35">
        <f t="shared" si="12"/>
        <v>976291.2</v>
      </c>
      <c r="E52" s="34">
        <f t="shared" si="12"/>
        <v>1170560.3</v>
      </c>
      <c r="F52" s="33">
        <f t="shared" si="12"/>
        <v>806195.4</v>
      </c>
      <c r="G52" s="24">
        <f t="shared" si="12"/>
        <v>0</v>
      </c>
      <c r="I52" s="12">
        <f t="shared" ref="I52:R52" si="20">I33+I14</f>
        <v>684471.6</v>
      </c>
      <c r="J52" s="35">
        <f t="shared" si="20"/>
        <v>735037.3</v>
      </c>
      <c r="K52" s="34">
        <f t="shared" si="20"/>
        <v>863430.4</v>
      </c>
      <c r="L52" s="33">
        <f t="shared" si="20"/>
        <v>641580.9</v>
      </c>
      <c r="M52" s="24">
        <f t="shared" si="20"/>
        <v>0</v>
      </c>
      <c r="N52" s="12">
        <f t="shared" si="20"/>
        <v>147821</v>
      </c>
      <c r="O52" s="35">
        <f t="shared" si="20"/>
        <v>241253.9</v>
      </c>
      <c r="P52" s="34">
        <f t="shared" si="20"/>
        <v>307129.90000000002</v>
      </c>
      <c r="Q52" s="33">
        <f t="shared" si="20"/>
        <v>164614.5</v>
      </c>
      <c r="R52" s="24">
        <f t="shared" si="20"/>
        <v>0</v>
      </c>
    </row>
    <row r="53" spans="1:18" x14ac:dyDescent="0.25">
      <c r="B53" s="14" t="s">
        <v>5</v>
      </c>
      <c r="C53" s="13">
        <f t="shared" si="12"/>
        <v>837375</v>
      </c>
      <c r="D53" s="35">
        <f t="shared" si="12"/>
        <v>936242.1</v>
      </c>
      <c r="E53" s="34">
        <f t="shared" si="12"/>
        <v>1051558.1000000001</v>
      </c>
      <c r="F53" s="33">
        <f t="shared" si="12"/>
        <v>730648.2</v>
      </c>
      <c r="G53" s="24">
        <f t="shared" si="12"/>
        <v>0</v>
      </c>
      <c r="I53" s="12">
        <f t="shared" ref="I53:R53" si="21">I34+I15</f>
        <v>702296</v>
      </c>
      <c r="J53" s="35">
        <f t="shared" si="21"/>
        <v>694920.6</v>
      </c>
      <c r="K53" s="34">
        <f t="shared" si="21"/>
        <v>758171.7</v>
      </c>
      <c r="L53" s="33">
        <f t="shared" si="21"/>
        <v>561335.80000000005</v>
      </c>
      <c r="M53" s="24">
        <f t="shared" si="21"/>
        <v>0</v>
      </c>
      <c r="N53" s="12">
        <f t="shared" si="21"/>
        <v>135079</v>
      </c>
      <c r="O53" s="35">
        <f t="shared" si="21"/>
        <v>241321.5</v>
      </c>
      <c r="P53" s="34">
        <f t="shared" si="21"/>
        <v>293386.40000000002</v>
      </c>
      <c r="Q53" s="33">
        <f t="shared" si="21"/>
        <v>169312.4</v>
      </c>
      <c r="R53" s="24">
        <f t="shared" si="21"/>
        <v>0</v>
      </c>
    </row>
    <row r="54" spans="1:18" x14ac:dyDescent="0.25">
      <c r="B54" s="14" t="s">
        <v>4</v>
      </c>
      <c r="C54" s="13">
        <f t="shared" si="12"/>
        <v>923541.8</v>
      </c>
      <c r="D54" s="35">
        <f t="shared" si="12"/>
        <v>899350.1</v>
      </c>
      <c r="E54" s="34">
        <f t="shared" si="12"/>
        <v>1063919.8999999999</v>
      </c>
      <c r="F54" s="33">
        <f t="shared" si="12"/>
        <v>820921.1</v>
      </c>
      <c r="G54" s="24">
        <f t="shared" si="12"/>
        <v>0</v>
      </c>
      <c r="I54" s="12">
        <f t="shared" ref="I54:R54" si="22">I35+I16</f>
        <v>714424.2</v>
      </c>
      <c r="J54" s="35">
        <f t="shared" si="22"/>
        <v>701684.5</v>
      </c>
      <c r="K54" s="34">
        <f t="shared" si="22"/>
        <v>799195.6</v>
      </c>
      <c r="L54" s="33">
        <f t="shared" si="22"/>
        <v>643634.80000000005</v>
      </c>
      <c r="M54" s="24">
        <f t="shared" si="22"/>
        <v>0</v>
      </c>
      <c r="N54" s="12">
        <f t="shared" si="22"/>
        <v>209117.6</v>
      </c>
      <c r="O54" s="35">
        <f t="shared" si="22"/>
        <v>197665.6</v>
      </c>
      <c r="P54" s="34">
        <f t="shared" si="22"/>
        <v>264724.3</v>
      </c>
      <c r="Q54" s="33">
        <f t="shared" si="22"/>
        <v>177286.3</v>
      </c>
      <c r="R54" s="24">
        <f t="shared" si="22"/>
        <v>0</v>
      </c>
    </row>
    <row r="55" spans="1:18" x14ac:dyDescent="0.25">
      <c r="B55" s="14" t="s">
        <v>3</v>
      </c>
      <c r="C55" s="13">
        <f t="shared" si="12"/>
        <v>844784.7</v>
      </c>
      <c r="D55" s="35">
        <f t="shared" si="12"/>
        <v>867907.6</v>
      </c>
      <c r="E55" s="34">
        <f t="shared" si="12"/>
        <v>951994</v>
      </c>
      <c r="F55" s="33">
        <f t="shared" si="12"/>
        <v>733062.5</v>
      </c>
      <c r="G55" s="24">
        <f t="shared" si="12"/>
        <v>0</v>
      </c>
      <c r="I55" s="12">
        <f t="shared" ref="I55:R55" si="23">I36+I17</f>
        <v>703915.2</v>
      </c>
      <c r="J55" s="35">
        <f t="shared" si="23"/>
        <v>669286.30000000005</v>
      </c>
      <c r="K55" s="34">
        <f t="shared" si="23"/>
        <v>703977.5</v>
      </c>
      <c r="L55" s="33">
        <f t="shared" si="23"/>
        <v>567868.9</v>
      </c>
      <c r="M55" s="24">
        <f t="shared" si="23"/>
        <v>0</v>
      </c>
      <c r="N55" s="12">
        <f t="shared" si="23"/>
        <v>140869.5</v>
      </c>
      <c r="O55" s="35">
        <f t="shared" si="23"/>
        <v>198621.3</v>
      </c>
      <c r="P55" s="34">
        <f t="shared" si="23"/>
        <v>248016.5</v>
      </c>
      <c r="Q55" s="33">
        <f t="shared" si="23"/>
        <v>165193.60000000001</v>
      </c>
      <c r="R55" s="24">
        <f t="shared" si="23"/>
        <v>0</v>
      </c>
    </row>
    <row r="56" spans="1:18" x14ac:dyDescent="0.25">
      <c r="B56" s="14" t="s">
        <v>2</v>
      </c>
      <c r="C56" s="13">
        <f t="shared" si="12"/>
        <v>878026</v>
      </c>
      <c r="D56" s="35">
        <f t="shared" si="12"/>
        <v>831889.3</v>
      </c>
      <c r="E56" s="34">
        <f t="shared" si="12"/>
        <v>889695.7</v>
      </c>
      <c r="F56" s="33">
        <f t="shared" si="12"/>
        <v>681284.4</v>
      </c>
      <c r="G56" s="24">
        <f t="shared" si="12"/>
        <v>0</v>
      </c>
      <c r="I56" s="12">
        <f t="shared" ref="I56:R56" si="24">I37+I18</f>
        <v>679786.1</v>
      </c>
      <c r="J56" s="35">
        <f t="shared" si="24"/>
        <v>637126</v>
      </c>
      <c r="K56" s="34">
        <f t="shared" si="24"/>
        <v>676857.6</v>
      </c>
      <c r="L56" s="33">
        <f t="shared" si="24"/>
        <v>500693.8</v>
      </c>
      <c r="M56" s="24">
        <f t="shared" si="24"/>
        <v>0</v>
      </c>
      <c r="N56" s="12">
        <f t="shared" si="24"/>
        <v>198239.9</v>
      </c>
      <c r="O56" s="35">
        <f t="shared" si="24"/>
        <v>194763.3</v>
      </c>
      <c r="P56" s="34">
        <f t="shared" si="24"/>
        <v>212838.1</v>
      </c>
      <c r="Q56" s="33">
        <f t="shared" si="24"/>
        <v>180590.6</v>
      </c>
      <c r="R56" s="24">
        <f t="shared" si="24"/>
        <v>0</v>
      </c>
    </row>
    <row r="57" spans="1:18" x14ac:dyDescent="0.25">
      <c r="A57" s="21"/>
      <c r="B57" s="23" t="s">
        <v>1</v>
      </c>
      <c r="C57" s="20">
        <f>SUM(C45:C56)</f>
        <v>9801081.0999999996</v>
      </c>
      <c r="D57" s="20">
        <f>SUM(D45:D56)</f>
        <v>10725588.045150001</v>
      </c>
      <c r="E57" s="20">
        <f>SUM(E45:E56)</f>
        <v>12281253.499999998</v>
      </c>
      <c r="F57" s="20">
        <f>SUM(F45:F56)</f>
        <v>10368922.700000001</v>
      </c>
      <c r="G57" s="20">
        <f>SUM(G45:G56)</f>
        <v>5863435.7000000002</v>
      </c>
      <c r="H57" s="21"/>
      <c r="I57" s="20">
        <f t="shared" ref="I57:R57" si="25">SUM(I45:I56)</f>
        <v>8063458.0999999996</v>
      </c>
      <c r="J57" s="20">
        <f t="shared" si="25"/>
        <v>8109273.6999999993</v>
      </c>
      <c r="K57" s="20">
        <f t="shared" si="25"/>
        <v>9157279.9000000004</v>
      </c>
      <c r="L57" s="20">
        <f t="shared" si="25"/>
        <v>7590722.7000000002</v>
      </c>
      <c r="M57" s="20">
        <f t="shared" si="25"/>
        <v>4512070.5</v>
      </c>
      <c r="N57" s="20">
        <f t="shared" si="25"/>
        <v>1737623</v>
      </c>
      <c r="O57" s="20">
        <f t="shared" si="25"/>
        <v>2616314.3451499995</v>
      </c>
      <c r="P57" s="20">
        <f t="shared" si="25"/>
        <v>3123973.5999999996</v>
      </c>
      <c r="Q57" s="20">
        <f t="shared" si="25"/>
        <v>2778200</v>
      </c>
      <c r="R57" s="20">
        <f t="shared" si="25"/>
        <v>1351365.2</v>
      </c>
    </row>
    <row r="59" spans="1:18" x14ac:dyDescent="0.25">
      <c r="A59" s="19" t="s">
        <v>22</v>
      </c>
    </row>
    <row r="61" spans="1:18" x14ac:dyDescent="0.25">
      <c r="B61" s="18"/>
      <c r="C61" s="59" t="s">
        <v>19</v>
      </c>
      <c r="D61" s="57"/>
      <c r="E61" s="57"/>
      <c r="F61" s="57"/>
      <c r="G61" s="57"/>
      <c r="I61" s="57" t="s">
        <v>18</v>
      </c>
      <c r="J61" s="57"/>
      <c r="K61" s="57"/>
      <c r="L61" s="57"/>
      <c r="M61" s="57"/>
      <c r="N61" s="57" t="s">
        <v>17</v>
      </c>
      <c r="O61" s="57"/>
      <c r="P61" s="57"/>
      <c r="Q61" s="57"/>
      <c r="R61" s="57"/>
    </row>
    <row r="62" spans="1:18" x14ac:dyDescent="0.25">
      <c r="B62" s="58" t="s">
        <v>16</v>
      </c>
      <c r="C62" s="17">
        <v>2022</v>
      </c>
      <c r="D62" s="17">
        <v>2023</v>
      </c>
      <c r="E62" s="17">
        <v>2024</v>
      </c>
      <c r="F62" s="17">
        <v>2025</v>
      </c>
      <c r="G62" s="17">
        <v>2026</v>
      </c>
      <c r="I62" s="17">
        <v>2022</v>
      </c>
      <c r="J62" s="17">
        <v>2023</v>
      </c>
      <c r="K62" s="17">
        <v>2024</v>
      </c>
      <c r="L62" s="17">
        <v>2025</v>
      </c>
      <c r="M62" s="17">
        <v>2026</v>
      </c>
      <c r="N62" s="17">
        <v>2022</v>
      </c>
      <c r="O62" s="17">
        <v>2023</v>
      </c>
      <c r="P62" s="17">
        <v>2024</v>
      </c>
      <c r="Q62" s="17">
        <v>2025</v>
      </c>
      <c r="R62" s="17">
        <v>2026</v>
      </c>
    </row>
    <row r="63" spans="1:18" x14ac:dyDescent="0.25">
      <c r="B63" s="58"/>
      <c r="C63" s="16" t="s">
        <v>21</v>
      </c>
      <c r="D63" s="16" t="s">
        <v>21</v>
      </c>
      <c r="E63" s="16" t="s">
        <v>21</v>
      </c>
      <c r="F63" s="16" t="s">
        <v>21</v>
      </c>
      <c r="G63" s="16" t="s">
        <v>21</v>
      </c>
      <c r="I63" s="16" t="s">
        <v>21</v>
      </c>
      <c r="J63" s="16" t="s">
        <v>21</v>
      </c>
      <c r="K63" s="16" t="s">
        <v>21</v>
      </c>
      <c r="L63" s="16" t="s">
        <v>21</v>
      </c>
      <c r="M63" s="16" t="s">
        <v>21</v>
      </c>
      <c r="N63" s="16" t="s">
        <v>21</v>
      </c>
      <c r="O63" s="16" t="s">
        <v>21</v>
      </c>
      <c r="P63" s="16" t="s">
        <v>21</v>
      </c>
      <c r="Q63" s="16" t="s">
        <v>21</v>
      </c>
      <c r="R63" s="16" t="s">
        <v>21</v>
      </c>
    </row>
    <row r="64" spans="1:18" x14ac:dyDescent="0.25">
      <c r="B64" s="14" t="s">
        <v>13</v>
      </c>
      <c r="C64" s="32">
        <f t="shared" ref="C64:G76" si="26">C26/C45</f>
        <v>0</v>
      </c>
      <c r="D64" s="29">
        <f t="shared" si="26"/>
        <v>0.11579653154997546</v>
      </c>
      <c r="E64" s="28">
        <f t="shared" si="26"/>
        <v>8.4433469249204737E-2</v>
      </c>
      <c r="F64" s="27">
        <f t="shared" si="26"/>
        <v>9.031071882172978E-2</v>
      </c>
      <c r="G64" s="26">
        <f t="shared" si="26"/>
        <v>9.4828093652896475E-2</v>
      </c>
      <c r="I64" s="31">
        <f t="shared" ref="I64:R64" si="27">I26/I45</f>
        <v>0</v>
      </c>
      <c r="J64" s="29">
        <f t="shared" si="27"/>
        <v>7.244586836100772E-2</v>
      </c>
      <c r="K64" s="28">
        <f t="shared" si="27"/>
        <v>4.8139873957041529E-2</v>
      </c>
      <c r="L64" s="27">
        <f t="shared" si="27"/>
        <v>6.2386148618660521E-2</v>
      </c>
      <c r="M64" s="26">
        <f t="shared" si="27"/>
        <v>6.5261615242178939E-2</v>
      </c>
      <c r="N64" s="30">
        <f t="shared" si="27"/>
        <v>0</v>
      </c>
      <c r="O64" s="29">
        <f t="shared" si="27"/>
        <v>0.29328178844678893</v>
      </c>
      <c r="P64" s="28">
        <f t="shared" si="27"/>
        <v>0.20080561114189491</v>
      </c>
      <c r="Q64" s="27">
        <f t="shared" si="27"/>
        <v>0.16697470376130727</v>
      </c>
      <c r="R64" s="26">
        <f t="shared" si="27"/>
        <v>0.17008626051658102</v>
      </c>
    </row>
    <row r="65" spans="1:18" x14ac:dyDescent="0.25">
      <c r="B65" s="14" t="s">
        <v>12</v>
      </c>
      <c r="C65" s="32">
        <f t="shared" si="26"/>
        <v>0</v>
      </c>
      <c r="D65" s="29">
        <f t="shared" si="26"/>
        <v>0.10285445581392379</v>
      </c>
      <c r="E65" s="28">
        <f t="shared" si="26"/>
        <v>0.11662412282301535</v>
      </c>
      <c r="F65" s="27">
        <f t="shared" si="26"/>
        <v>9.6926958836095228E-2</v>
      </c>
      <c r="G65" s="26">
        <f t="shared" si="26"/>
        <v>0.12376754403778831</v>
      </c>
      <c r="I65" s="31">
        <f t="shared" ref="I65:R65" si="28">I27/I46</f>
        <v>0</v>
      </c>
      <c r="J65" s="29">
        <f t="shared" si="28"/>
        <v>6.7636885554279394E-2</v>
      </c>
      <c r="K65" s="28">
        <f t="shared" si="28"/>
        <v>7.2882734614700184E-2</v>
      </c>
      <c r="L65" s="27">
        <f t="shared" si="28"/>
        <v>6.8827610919535237E-2</v>
      </c>
      <c r="M65" s="26">
        <f t="shared" si="28"/>
        <v>7.7315211502717168E-2</v>
      </c>
      <c r="N65" s="30">
        <f t="shared" si="28"/>
        <v>0</v>
      </c>
      <c r="O65" s="29">
        <f t="shared" si="28"/>
        <v>0.23214034132942643</v>
      </c>
      <c r="P65" s="28">
        <f t="shared" si="28"/>
        <v>0.27514183113818808</v>
      </c>
      <c r="Q65" s="27">
        <f t="shared" si="28"/>
        <v>0.1652751129529493</v>
      </c>
      <c r="R65" s="26">
        <f t="shared" si="28"/>
        <v>0.30503575912247111</v>
      </c>
    </row>
    <row r="66" spans="1:18" x14ac:dyDescent="0.25">
      <c r="B66" s="14" t="s">
        <v>11</v>
      </c>
      <c r="C66" s="32">
        <f t="shared" si="26"/>
        <v>0</v>
      </c>
      <c r="D66" s="29">
        <f t="shared" si="26"/>
        <v>0.10360924144208485</v>
      </c>
      <c r="E66" s="28">
        <f t="shared" si="26"/>
        <v>0.10451844947557971</v>
      </c>
      <c r="F66" s="27">
        <f t="shared" si="26"/>
        <v>9.7993010890132778E-2</v>
      </c>
      <c r="G66" s="26">
        <f t="shared" si="26"/>
        <v>0.13349351114909241</v>
      </c>
      <c r="I66" s="31">
        <f t="shared" ref="I66:R66" si="29">I28/I47</f>
        <v>0</v>
      </c>
      <c r="J66" s="29">
        <f t="shared" si="29"/>
        <v>6.9870462384409512E-2</v>
      </c>
      <c r="K66" s="28">
        <f t="shared" si="29"/>
        <v>6.7231047645539846E-2</v>
      </c>
      <c r="L66" s="27">
        <f t="shared" si="29"/>
        <v>6.9945518835956053E-2</v>
      </c>
      <c r="M66" s="26">
        <f t="shared" si="29"/>
        <v>8.3551001812154177E-2</v>
      </c>
      <c r="N66" s="30">
        <f t="shared" si="29"/>
        <v>0</v>
      </c>
      <c r="O66" s="29">
        <f t="shared" si="29"/>
        <v>0.20482929785875884</v>
      </c>
      <c r="P66" s="28">
        <f t="shared" si="29"/>
        <v>0.23316498355262399</v>
      </c>
      <c r="Q66" s="27">
        <f t="shared" si="29"/>
        <v>0.16621264209989914</v>
      </c>
      <c r="R66" s="26">
        <f t="shared" si="29"/>
        <v>0.3232386635951825</v>
      </c>
    </row>
    <row r="67" spans="1:18" x14ac:dyDescent="0.25">
      <c r="B67" s="14" t="s">
        <v>10</v>
      </c>
      <c r="C67" s="32">
        <f t="shared" si="26"/>
        <v>0</v>
      </c>
      <c r="D67" s="29">
        <f t="shared" si="26"/>
        <v>0.10808153549161491</v>
      </c>
      <c r="E67" s="28">
        <f t="shared" si="26"/>
        <v>0.10371638480090793</v>
      </c>
      <c r="F67" s="27">
        <f t="shared" si="26"/>
        <v>0.10131961301883972</v>
      </c>
      <c r="G67" s="26">
        <f t="shared" si="26"/>
        <v>9.8921396927643804E-2</v>
      </c>
      <c r="I67" s="31">
        <f t="shared" ref="I67:R67" si="30">I29/I48</f>
        <v>0</v>
      </c>
      <c r="J67" s="29">
        <f t="shared" si="30"/>
        <v>7.3618584582488489E-2</v>
      </c>
      <c r="K67" s="28">
        <f t="shared" si="30"/>
        <v>7.5125374426695951E-2</v>
      </c>
      <c r="L67" s="27">
        <f t="shared" si="30"/>
        <v>7.4283982692523481E-2</v>
      </c>
      <c r="M67" s="26">
        <f t="shared" si="30"/>
        <v>6.3787911945635725E-2</v>
      </c>
      <c r="N67" s="30">
        <f t="shared" si="30"/>
        <v>0</v>
      </c>
      <c r="O67" s="29">
        <f t="shared" si="30"/>
        <v>0.20778054259373913</v>
      </c>
      <c r="P67" s="28">
        <f t="shared" si="30"/>
        <v>0.20689523806068369</v>
      </c>
      <c r="Q67" s="27">
        <f t="shared" si="30"/>
        <v>0.1611715099683991</v>
      </c>
      <c r="R67" s="26">
        <f t="shared" si="30"/>
        <v>0.22115506790340303</v>
      </c>
    </row>
    <row r="68" spans="1:18" x14ac:dyDescent="0.25">
      <c r="B68" s="14" t="s">
        <v>9</v>
      </c>
      <c r="C68" s="32">
        <f t="shared" si="26"/>
        <v>0</v>
      </c>
      <c r="D68" s="29">
        <f t="shared" si="26"/>
        <v>0.1095198047186499</v>
      </c>
      <c r="E68" s="28">
        <f t="shared" si="26"/>
        <v>7.6150569110824934E-2</v>
      </c>
      <c r="F68" s="27">
        <f t="shared" si="26"/>
        <v>8.7677280745112107E-2</v>
      </c>
      <c r="G68" s="26">
        <f t="shared" si="26"/>
        <v>0.1040999838114479</v>
      </c>
      <c r="I68" s="31">
        <f t="shared" ref="I68:R68" si="31">I30/I49</f>
        <v>0</v>
      </c>
      <c r="J68" s="29">
        <f t="shared" si="31"/>
        <v>7.6221509059354334E-2</v>
      </c>
      <c r="K68" s="28">
        <f t="shared" si="31"/>
        <v>5.2167536968840134E-2</v>
      </c>
      <c r="L68" s="27">
        <f t="shared" si="31"/>
        <v>6.3153647237108951E-2</v>
      </c>
      <c r="M68" s="26">
        <f t="shared" si="31"/>
        <v>6.806172404105372E-2</v>
      </c>
      <c r="N68" s="30">
        <f t="shared" si="31"/>
        <v>0</v>
      </c>
      <c r="O68" s="29">
        <f t="shared" si="31"/>
        <v>0.19570524183489874</v>
      </c>
      <c r="P68" s="28">
        <f t="shared" si="31"/>
        <v>0.14111139919874463</v>
      </c>
      <c r="Q68" s="27">
        <f t="shared" si="31"/>
        <v>0.14504208249870318</v>
      </c>
      <c r="R68" s="26">
        <f t="shared" si="31"/>
        <v>0.22470265407152504</v>
      </c>
    </row>
    <row r="69" spans="1:18" x14ac:dyDescent="0.25">
      <c r="B69" s="14" t="s">
        <v>8</v>
      </c>
      <c r="C69" s="32">
        <f t="shared" si="26"/>
        <v>0</v>
      </c>
      <c r="D69" s="29">
        <f t="shared" si="26"/>
        <v>0.10454826804914302</v>
      </c>
      <c r="E69" s="28">
        <f t="shared" si="26"/>
        <v>7.6159226771566876E-2</v>
      </c>
      <c r="F69" s="27">
        <f t="shared" si="26"/>
        <v>9.6570068104495643E-2</v>
      </c>
      <c r="G69" s="26">
        <f t="shared" si="26"/>
        <v>9.981464048246122E-2</v>
      </c>
      <c r="I69" s="31">
        <f t="shared" ref="I69:R69" si="32">I31/I50</f>
        <v>0</v>
      </c>
      <c r="J69" s="29">
        <f t="shared" si="32"/>
        <v>7.258760151685302E-2</v>
      </c>
      <c r="K69" s="28">
        <f t="shared" si="32"/>
        <v>5.3267905538040859E-2</v>
      </c>
      <c r="L69" s="27">
        <f t="shared" si="32"/>
        <v>6.8457363330785267E-2</v>
      </c>
      <c r="M69" s="26">
        <f t="shared" si="32"/>
        <v>6.4899310632899734E-2</v>
      </c>
      <c r="N69" s="30">
        <f t="shared" si="32"/>
        <v>0</v>
      </c>
      <c r="O69" s="29">
        <f t="shared" si="32"/>
        <v>0.19347476730849386</v>
      </c>
      <c r="P69" s="28">
        <f t="shared" si="32"/>
        <v>0.13382082195537101</v>
      </c>
      <c r="Q69" s="27">
        <f t="shared" si="32"/>
        <v>0.16541824193900587</v>
      </c>
      <c r="R69" s="26">
        <f t="shared" si="32"/>
        <v>0.21976312105365389</v>
      </c>
    </row>
    <row r="70" spans="1:18" x14ac:dyDescent="0.25">
      <c r="B70" s="14" t="s">
        <v>7</v>
      </c>
      <c r="C70" s="32">
        <f t="shared" si="26"/>
        <v>0</v>
      </c>
      <c r="D70" s="29">
        <f t="shared" si="26"/>
        <v>9.3534808147935938E-2</v>
      </c>
      <c r="E70" s="28">
        <f t="shared" si="26"/>
        <v>7.8685089259174654E-2</v>
      </c>
      <c r="F70" s="27">
        <f t="shared" si="26"/>
        <v>8.7418165448434615E-2</v>
      </c>
      <c r="G70" s="26">
        <f t="shared" si="26"/>
        <v>8.9379786041510145E-2</v>
      </c>
      <c r="I70" s="31">
        <f t="shared" ref="I70:R70" si="33">I32/I51</f>
        <v>0</v>
      </c>
      <c r="J70" s="29">
        <f t="shared" si="33"/>
        <v>6.3065189607238267E-2</v>
      </c>
      <c r="K70" s="28">
        <f t="shared" si="33"/>
        <v>5.5779512257671637E-2</v>
      </c>
      <c r="L70" s="27">
        <f t="shared" si="33"/>
        <v>6.230472183916811E-2</v>
      </c>
      <c r="M70" s="26">
        <f t="shared" si="33"/>
        <v>5.8364353867868896E-2</v>
      </c>
      <c r="N70" s="30">
        <f t="shared" si="33"/>
        <v>0</v>
      </c>
      <c r="O70" s="29">
        <f t="shared" si="33"/>
        <v>0.18053424175473348</v>
      </c>
      <c r="P70" s="28">
        <f t="shared" si="33"/>
        <v>0.13560707632764923</v>
      </c>
      <c r="Q70" s="27">
        <f t="shared" si="33"/>
        <v>0.149754471272841</v>
      </c>
      <c r="R70" s="26">
        <f t="shared" si="33"/>
        <v>0.19162469187719772</v>
      </c>
    </row>
    <row r="71" spans="1:18" x14ac:dyDescent="0.25">
      <c r="B71" s="14" t="s">
        <v>6</v>
      </c>
      <c r="C71" s="32">
        <f t="shared" si="26"/>
        <v>7.0407931056938394E-5</v>
      </c>
      <c r="D71" s="29">
        <f t="shared" si="26"/>
        <v>9.0917750769442571E-2</v>
      </c>
      <c r="E71" s="28">
        <f t="shared" si="26"/>
        <v>7.5682816169316519E-2</v>
      </c>
      <c r="F71" s="27">
        <f t="shared" si="26"/>
        <v>0.11594757300773484</v>
      </c>
      <c r="G71" s="26" t="e">
        <f t="shared" si="26"/>
        <v>#DIV/0!</v>
      </c>
      <c r="I71" s="31">
        <f t="shared" ref="I71:R71" si="34">I33/I52</f>
        <v>8.5613486374014653E-5</v>
      </c>
      <c r="J71" s="29">
        <f t="shared" si="34"/>
        <v>6.0666717185644863E-2</v>
      </c>
      <c r="K71" s="28">
        <f t="shared" si="34"/>
        <v>5.2016236630074639E-2</v>
      </c>
      <c r="L71" s="27">
        <f t="shared" si="34"/>
        <v>7.4394203443400517E-2</v>
      </c>
      <c r="M71" s="26" t="e">
        <f t="shared" si="34"/>
        <v>#DIV/0!</v>
      </c>
      <c r="N71" s="30">
        <f t="shared" si="34"/>
        <v>0</v>
      </c>
      <c r="O71" s="29">
        <f t="shared" si="34"/>
        <v>0.1830847086824296</v>
      </c>
      <c r="P71" s="28">
        <f t="shared" si="34"/>
        <v>0.14221637163949194</v>
      </c>
      <c r="Q71" s="27">
        <f t="shared" si="34"/>
        <v>0.27790079245752958</v>
      </c>
      <c r="R71" s="26" t="e">
        <f t="shared" si="34"/>
        <v>#DIV/0!</v>
      </c>
    </row>
    <row r="72" spans="1:18" x14ac:dyDescent="0.25">
      <c r="B72" s="14" t="s">
        <v>5</v>
      </c>
      <c r="C72" s="32">
        <f t="shared" si="26"/>
        <v>8.0011942080907605E-5</v>
      </c>
      <c r="D72" s="29">
        <f t="shared" si="26"/>
        <v>9.7706672237875228E-2</v>
      </c>
      <c r="E72" s="28">
        <f t="shared" si="26"/>
        <v>8.5148029386108104E-2</v>
      </c>
      <c r="F72" s="27">
        <f t="shared" si="26"/>
        <v>0.12286925499850683</v>
      </c>
      <c r="G72" s="26" t="e">
        <f t="shared" si="26"/>
        <v>#DIV/0!</v>
      </c>
      <c r="I72" s="31">
        <f t="shared" ref="I72:R72" si="35">I34/I53</f>
        <v>0</v>
      </c>
      <c r="J72" s="29">
        <f t="shared" si="35"/>
        <v>6.6394059983255635E-2</v>
      </c>
      <c r="K72" s="28">
        <f t="shared" si="35"/>
        <v>5.9654956786173899E-2</v>
      </c>
      <c r="L72" s="27">
        <f t="shared" si="35"/>
        <v>7.9809269246679082E-2</v>
      </c>
      <c r="M72" s="26" t="e">
        <f t="shared" si="35"/>
        <v>#DIV/0!</v>
      </c>
      <c r="N72" s="30">
        <f t="shared" si="35"/>
        <v>4.9600604090939372E-4</v>
      </c>
      <c r="O72" s="29">
        <f t="shared" si="35"/>
        <v>0.18787592485543145</v>
      </c>
      <c r="P72" s="28">
        <f t="shared" si="35"/>
        <v>0.15102745048850252</v>
      </c>
      <c r="Q72" s="27">
        <f t="shared" si="35"/>
        <v>0.26562968807955001</v>
      </c>
      <c r="R72" s="26" t="e">
        <f t="shared" si="35"/>
        <v>#DIV/0!</v>
      </c>
    </row>
    <row r="73" spans="1:18" x14ac:dyDescent="0.25">
      <c r="B73" s="14" t="s">
        <v>4</v>
      </c>
      <c r="C73" s="32">
        <f t="shared" si="26"/>
        <v>3.4521231199280855E-2</v>
      </c>
      <c r="D73" s="29">
        <f t="shared" si="26"/>
        <v>0.10826606902028477</v>
      </c>
      <c r="E73" s="28">
        <f t="shared" si="26"/>
        <v>8.7053452050290636E-2</v>
      </c>
      <c r="F73" s="27">
        <f t="shared" si="26"/>
        <v>0.11753516872693369</v>
      </c>
      <c r="G73" s="26" t="e">
        <f t="shared" si="26"/>
        <v>#DIV/0!</v>
      </c>
      <c r="I73" s="31">
        <f t="shared" ref="I73:R73" si="36">I35/I54</f>
        <v>2.4837064589917308E-2</v>
      </c>
      <c r="J73" s="29">
        <f t="shared" si="36"/>
        <v>7.0089192507458833E-2</v>
      </c>
      <c r="K73" s="28">
        <f t="shared" si="36"/>
        <v>5.8268088563050144E-2</v>
      </c>
      <c r="L73" s="27">
        <f t="shared" si="36"/>
        <v>7.4380378438207509E-2</v>
      </c>
      <c r="M73" s="26" t="e">
        <f t="shared" si="36"/>
        <v>#DIV/0!</v>
      </c>
      <c r="N73" s="30">
        <f t="shared" si="36"/>
        <v>6.760597864550856E-2</v>
      </c>
      <c r="O73" s="29">
        <f t="shared" si="36"/>
        <v>0.24378849936458341</v>
      </c>
      <c r="P73" s="28">
        <f t="shared" si="36"/>
        <v>0.17395569654920234</v>
      </c>
      <c r="Q73" s="27">
        <f t="shared" si="36"/>
        <v>0.27420787731482921</v>
      </c>
      <c r="R73" s="26" t="e">
        <f t="shared" si="36"/>
        <v>#DIV/0!</v>
      </c>
    </row>
    <row r="74" spans="1:18" x14ac:dyDescent="0.25">
      <c r="B74" s="14" t="s">
        <v>3</v>
      </c>
      <c r="C74" s="32">
        <f t="shared" si="26"/>
        <v>8.7372202645242036E-2</v>
      </c>
      <c r="D74" s="29">
        <f t="shared" si="26"/>
        <v>9.5729775842497533E-2</v>
      </c>
      <c r="E74" s="28">
        <f t="shared" si="26"/>
        <v>8.2738966842227993E-2</v>
      </c>
      <c r="F74" s="27">
        <f t="shared" si="26"/>
        <v>0.10411049535339756</v>
      </c>
      <c r="G74" s="26" t="e">
        <f t="shared" si="26"/>
        <v>#DIV/0!</v>
      </c>
      <c r="I74" s="31">
        <f t="shared" ref="I74:R74" si="37">I36/I55</f>
        <v>5.9544388301318113E-2</v>
      </c>
      <c r="J74" s="29">
        <f t="shared" si="37"/>
        <v>6.1990361972148543E-2</v>
      </c>
      <c r="K74" s="28">
        <f t="shared" si="37"/>
        <v>5.6502516060527502E-2</v>
      </c>
      <c r="L74" s="27">
        <f t="shared" si="37"/>
        <v>6.6599702853950976E-2</v>
      </c>
      <c r="M74" s="26" t="e">
        <f t="shared" si="37"/>
        <v>#DIV/0!</v>
      </c>
      <c r="N74" s="30">
        <f t="shared" si="37"/>
        <v>0.22642587643173293</v>
      </c>
      <c r="O74" s="29">
        <f t="shared" si="37"/>
        <v>0.20942013771936846</v>
      </c>
      <c r="P74" s="28">
        <f t="shared" si="37"/>
        <v>0.15720929857489321</v>
      </c>
      <c r="Q74" s="27">
        <f t="shared" si="37"/>
        <v>0.23305745501036357</v>
      </c>
      <c r="R74" s="26" t="e">
        <f t="shared" si="37"/>
        <v>#DIV/0!</v>
      </c>
    </row>
    <row r="75" spans="1:18" x14ac:dyDescent="0.25">
      <c r="B75" s="14" t="s">
        <v>2</v>
      </c>
      <c r="C75" s="32">
        <f t="shared" si="26"/>
        <v>8.34052750146351E-2</v>
      </c>
      <c r="D75" s="29">
        <f t="shared" si="26"/>
        <v>8.1439080896941449E-2</v>
      </c>
      <c r="E75" s="28">
        <f t="shared" si="26"/>
        <v>8.2324439693256923E-2</v>
      </c>
      <c r="F75" s="27">
        <f t="shared" si="26"/>
        <v>0.11584794837515726</v>
      </c>
      <c r="G75" s="26" t="e">
        <f t="shared" si="26"/>
        <v>#DIV/0!</v>
      </c>
      <c r="I75" s="31">
        <f t="shared" ref="I75:R75" si="38">I37/I56</f>
        <v>5.9948416126778703E-2</v>
      </c>
      <c r="J75" s="29">
        <f t="shared" si="38"/>
        <v>4.4013272100024169E-2</v>
      </c>
      <c r="K75" s="28">
        <f t="shared" si="38"/>
        <v>5.4257498179823942E-2</v>
      </c>
      <c r="L75" s="27">
        <f t="shared" si="38"/>
        <v>7.8181115883599925E-2</v>
      </c>
      <c r="M75" s="26" t="e">
        <f t="shared" si="38"/>
        <v>#DIV/0!</v>
      </c>
      <c r="N75" s="30">
        <f t="shared" si="38"/>
        <v>0.16384138611853619</v>
      </c>
      <c r="O75" s="29">
        <f t="shared" si="38"/>
        <v>0.20386951751176943</v>
      </c>
      <c r="P75" s="28">
        <f t="shared" si="38"/>
        <v>0.17158159182965832</v>
      </c>
      <c r="Q75" s="27">
        <f t="shared" si="38"/>
        <v>0.22028056831307941</v>
      </c>
      <c r="R75" s="26" t="e">
        <f t="shared" si="38"/>
        <v>#DIV/0!</v>
      </c>
    </row>
    <row r="76" spans="1:18" x14ac:dyDescent="0.25">
      <c r="A76" s="21"/>
      <c r="B76" s="23" t="s">
        <v>1</v>
      </c>
      <c r="C76" s="25">
        <f t="shared" si="26"/>
        <v>1.8268403064229315E-2</v>
      </c>
      <c r="D76" s="25">
        <f t="shared" si="26"/>
        <v>0.10085591956323095</v>
      </c>
      <c r="E76" s="25">
        <f t="shared" si="26"/>
        <v>8.6795578317799577E-2</v>
      </c>
      <c r="F76" s="25">
        <f t="shared" si="26"/>
        <v>0.10168305141285315</v>
      </c>
      <c r="G76" s="25">
        <f t="shared" si="26"/>
        <v>0.10527099325059538</v>
      </c>
      <c r="H76" s="21"/>
      <c r="I76" s="25">
        <f t="shared" ref="I76:R76" si="39">I38/I57</f>
        <v>1.2459803071339828E-2</v>
      </c>
      <c r="J76" s="25">
        <f t="shared" si="39"/>
        <v>6.6592856521786897E-2</v>
      </c>
      <c r="K76" s="25">
        <f t="shared" si="39"/>
        <v>5.8591733119351307E-2</v>
      </c>
      <c r="L76" s="25">
        <f t="shared" si="39"/>
        <v>6.9856945241854249E-2</v>
      </c>
      <c r="M76" s="25">
        <f t="shared" si="39"/>
        <v>6.8305559498682486E-2</v>
      </c>
      <c r="N76" s="25">
        <f t="shared" si="39"/>
        <v>4.5223273402803715E-2</v>
      </c>
      <c r="O76" s="25">
        <f t="shared" si="39"/>
        <v>0.20705438020252184</v>
      </c>
      <c r="P76" s="25">
        <f t="shared" si="39"/>
        <v>0.1694692938506267</v>
      </c>
      <c r="Q76" s="25">
        <f t="shared" si="39"/>
        <v>0.18863976675545316</v>
      </c>
      <c r="R76" s="25">
        <f t="shared" si="39"/>
        <v>0.22869480433564518</v>
      </c>
    </row>
    <row r="78" spans="1:18" x14ac:dyDescent="0.25">
      <c r="A78" s="19" t="s">
        <v>29</v>
      </c>
    </row>
    <row r="80" spans="1:18" x14ac:dyDescent="0.25">
      <c r="B80" s="18"/>
      <c r="C80" s="57" t="s">
        <v>19</v>
      </c>
      <c r="D80" s="57"/>
      <c r="E80" s="57"/>
      <c r="F80" s="57"/>
      <c r="G80" s="57"/>
      <c r="I80" s="57" t="s">
        <v>18</v>
      </c>
      <c r="J80" s="57"/>
      <c r="K80" s="57"/>
      <c r="L80" s="57"/>
      <c r="M80" s="57"/>
      <c r="N80" s="57" t="s">
        <v>17</v>
      </c>
      <c r="O80" s="57"/>
      <c r="P80" s="57"/>
      <c r="Q80" s="57"/>
      <c r="R80" s="57"/>
    </row>
    <row r="81" spans="1:18" x14ac:dyDescent="0.25">
      <c r="B81" s="58" t="s">
        <v>16</v>
      </c>
      <c r="C81" s="17">
        <v>2022</v>
      </c>
      <c r="D81" s="17">
        <v>2023</v>
      </c>
      <c r="E81" s="17">
        <v>2024</v>
      </c>
      <c r="F81" s="17">
        <v>2025</v>
      </c>
      <c r="G81" s="17">
        <v>2026</v>
      </c>
      <c r="I81" s="17">
        <v>2022</v>
      </c>
      <c r="J81" s="17">
        <v>2023</v>
      </c>
      <c r="K81" s="17">
        <v>2024</v>
      </c>
      <c r="L81" s="17">
        <v>2025</v>
      </c>
      <c r="M81" s="17">
        <v>2026</v>
      </c>
      <c r="N81" s="17">
        <v>2022</v>
      </c>
      <c r="O81" s="17">
        <v>2023</v>
      </c>
      <c r="P81" s="17">
        <v>2024</v>
      </c>
      <c r="Q81" s="17">
        <v>2025</v>
      </c>
      <c r="R81" s="17">
        <v>2026</v>
      </c>
    </row>
    <row r="82" spans="1:18" ht="18" x14ac:dyDescent="0.25">
      <c r="B82" s="58"/>
      <c r="C82" s="16" t="s">
        <v>15</v>
      </c>
      <c r="D82" s="16" t="s">
        <v>14</v>
      </c>
      <c r="E82" s="16" t="s">
        <v>14</v>
      </c>
      <c r="F82" s="16" t="s">
        <v>14</v>
      </c>
      <c r="G82" s="16" t="s">
        <v>14</v>
      </c>
      <c r="I82" s="16" t="s">
        <v>14</v>
      </c>
      <c r="J82" s="16" t="s">
        <v>14</v>
      </c>
      <c r="K82" s="16" t="s">
        <v>14</v>
      </c>
      <c r="L82" s="16" t="s">
        <v>14</v>
      </c>
      <c r="M82" s="16" t="s">
        <v>14</v>
      </c>
      <c r="N82" s="16" t="s">
        <v>14</v>
      </c>
      <c r="O82" s="16" t="s">
        <v>14</v>
      </c>
      <c r="P82" s="16" t="s">
        <v>14</v>
      </c>
      <c r="Q82" s="16" t="s">
        <v>14</v>
      </c>
      <c r="R82" s="16" t="s">
        <v>14</v>
      </c>
    </row>
    <row r="83" spans="1:18" x14ac:dyDescent="0.25">
      <c r="B83" s="14" t="s">
        <v>13</v>
      </c>
      <c r="C83" s="13">
        <f>ROUND(C7*0.769/1000,3)</f>
        <v>512.08100000000002</v>
      </c>
      <c r="D83" s="15">
        <f>ROUND(D7*0.76/1000,3)</f>
        <v>496.90499999999997</v>
      </c>
      <c r="E83" s="9">
        <f>ROUND(E7*0.74/1000,3)</f>
        <v>595.58900000000006</v>
      </c>
      <c r="F83" s="8">
        <f>ROUND(F7*0.74/1000,3)</f>
        <v>614.55799999999999</v>
      </c>
      <c r="G83" s="7">
        <f>ROUND(G7*0.74/1000,3)</f>
        <v>580.34400000000005</v>
      </c>
      <c r="I83" s="12">
        <f>ROUND(I7*0.769/1000,3)</f>
        <v>441.64299999999997</v>
      </c>
      <c r="J83" s="10">
        <f>ROUND(J7*0.76/1000,3)</f>
        <v>418.94099999999997</v>
      </c>
      <c r="K83" s="9">
        <f>ROUND(K7*0.74/1000,3)</f>
        <v>471.995</v>
      </c>
      <c r="L83" s="8">
        <f>ROUND(L7*0.74/1000,3)</f>
        <v>464.303</v>
      </c>
      <c r="M83" s="7">
        <f>ROUND(M7*0.74/1000,3)</f>
        <v>430.26299999999998</v>
      </c>
      <c r="N83" s="11">
        <f>ROUND(N7*0.769/1000,3)</f>
        <v>70.438000000000002</v>
      </c>
      <c r="O83" s="10">
        <f>ROUND(O7*0.76/1000,3)</f>
        <v>77.963999999999999</v>
      </c>
      <c r="P83" s="9">
        <f>ROUND(P7*0.74/1000,3)</f>
        <v>123.59399999999999</v>
      </c>
      <c r="Q83" s="8">
        <f>ROUND(Q7*0.74/1000,3)</f>
        <v>150.256</v>
      </c>
      <c r="R83" s="7">
        <f>ROUND(R7*0.74/1000,3)</f>
        <v>150.08000000000001</v>
      </c>
    </row>
    <row r="84" spans="1:18" x14ac:dyDescent="0.25">
      <c r="B84" s="14" t="s">
        <v>12</v>
      </c>
      <c r="C84" s="13">
        <f t="shared" ref="C84:C94" si="40">ROUND(C8*0.769/1000,3)</f>
        <v>454.904</v>
      </c>
      <c r="D84" s="10">
        <f t="shared" ref="D84:D94" si="41">ROUND(D8*0.76/1000,3)</f>
        <v>523.46</v>
      </c>
      <c r="E84" s="9">
        <f t="shared" ref="E84:G94" si="42">ROUND(E8*0.74/1000,3)</f>
        <v>528.69399999999996</v>
      </c>
      <c r="F84" s="8">
        <f t="shared" si="42"/>
        <v>597.38900000000001</v>
      </c>
      <c r="G84" s="7">
        <f t="shared" si="42"/>
        <v>454.99</v>
      </c>
      <c r="I84" s="12">
        <f t="shared" ref="I84:I94" si="43">ROUND(I8*0.769/1000,3)</f>
        <v>395.31700000000001</v>
      </c>
      <c r="J84" s="10">
        <f t="shared" ref="J84:J94" si="44">ROUND(J8*0.76/1000,3)</f>
        <v>427.54500000000002</v>
      </c>
      <c r="K84" s="9">
        <f t="shared" ref="K84:K94" si="45">ROUND(K8*0.74/1000,3)</f>
        <v>434.87400000000002</v>
      </c>
      <c r="L84" s="8">
        <f t="shared" ref="L84:M94" si="46">ROUND(L8*0.74/1000,3)</f>
        <v>436.51600000000002</v>
      </c>
      <c r="M84" s="7">
        <f t="shared" si="46"/>
        <v>381.37799999999999</v>
      </c>
      <c r="N84" s="11">
        <f t="shared" ref="N84:N94" si="47">ROUND(N8*0.769/1000,3)</f>
        <v>59.588000000000001</v>
      </c>
      <c r="O84" s="10">
        <f t="shared" ref="O84:O94" si="48">ROUND(O8*0.76/1000,3)</f>
        <v>95.915000000000006</v>
      </c>
      <c r="P84" s="9">
        <f t="shared" ref="P84:R94" si="49">ROUND(P8*0.74/1000,3)</f>
        <v>93.82</v>
      </c>
      <c r="Q84" s="8">
        <f t="shared" si="49"/>
        <v>160.87299999999999</v>
      </c>
      <c r="R84" s="7">
        <f t="shared" si="49"/>
        <v>73.611999999999995</v>
      </c>
    </row>
    <row r="85" spans="1:18" x14ac:dyDescent="0.25">
      <c r="B85" s="14" t="s">
        <v>11</v>
      </c>
      <c r="C85" s="13">
        <f t="shared" si="40"/>
        <v>661.49</v>
      </c>
      <c r="D85" s="10">
        <f t="shared" si="41"/>
        <v>647.94899999999996</v>
      </c>
      <c r="E85" s="9">
        <f t="shared" si="42"/>
        <v>640.34699999999998</v>
      </c>
      <c r="F85" s="8">
        <f t="shared" si="42"/>
        <v>624.02099999999996</v>
      </c>
      <c r="G85" s="7">
        <f t="shared" si="42"/>
        <v>497.61700000000002</v>
      </c>
      <c r="I85" s="12">
        <f t="shared" si="43"/>
        <v>554.01700000000005</v>
      </c>
      <c r="J85" s="10">
        <f t="shared" si="44"/>
        <v>504.25700000000001</v>
      </c>
      <c r="K85" s="9">
        <f t="shared" si="45"/>
        <v>517.125</v>
      </c>
      <c r="L85" s="8">
        <f t="shared" si="46"/>
        <v>455.96199999999999</v>
      </c>
      <c r="M85" s="7">
        <f t="shared" si="46"/>
        <v>416.63600000000002</v>
      </c>
      <c r="N85" s="11">
        <f t="shared" si="47"/>
        <v>107.473</v>
      </c>
      <c r="O85" s="10">
        <f t="shared" si="48"/>
        <v>143.69200000000001</v>
      </c>
      <c r="P85" s="9">
        <f t="shared" si="49"/>
        <v>123.22199999999999</v>
      </c>
      <c r="Q85" s="8">
        <f t="shared" si="49"/>
        <v>168.05799999999999</v>
      </c>
      <c r="R85" s="7">
        <f t="shared" si="49"/>
        <v>80.980999999999995</v>
      </c>
    </row>
    <row r="86" spans="1:18" x14ac:dyDescent="0.25">
      <c r="B86" s="14" t="s">
        <v>10</v>
      </c>
      <c r="C86" s="13">
        <f t="shared" si="40"/>
        <v>663.07600000000002</v>
      </c>
      <c r="D86" s="10">
        <f t="shared" si="41"/>
        <v>610.20600000000002</v>
      </c>
      <c r="E86" s="9">
        <f t="shared" si="42"/>
        <v>674.00199999999995</v>
      </c>
      <c r="F86" s="8">
        <f t="shared" si="42"/>
        <v>626.34900000000005</v>
      </c>
      <c r="G86" s="7">
        <f t="shared" si="42"/>
        <v>599.39300000000003</v>
      </c>
      <c r="I86" s="12">
        <f t="shared" si="43"/>
        <v>557.51700000000005</v>
      </c>
      <c r="J86" s="10">
        <f t="shared" si="44"/>
        <v>470.98</v>
      </c>
      <c r="K86" s="9">
        <f t="shared" si="45"/>
        <v>544.59400000000005</v>
      </c>
      <c r="L86" s="8">
        <f t="shared" si="46"/>
        <v>444.43599999999998</v>
      </c>
      <c r="M86" s="7">
        <f t="shared" si="46"/>
        <v>483.72699999999998</v>
      </c>
      <c r="N86" s="11">
        <f t="shared" si="47"/>
        <v>105.55800000000001</v>
      </c>
      <c r="O86" s="10">
        <f t="shared" si="48"/>
        <v>139.226</v>
      </c>
      <c r="P86" s="9">
        <f t="shared" si="49"/>
        <v>129.40799999999999</v>
      </c>
      <c r="Q86" s="8">
        <f t="shared" si="49"/>
        <v>181.91300000000001</v>
      </c>
      <c r="R86" s="7">
        <f t="shared" si="49"/>
        <v>115.666</v>
      </c>
    </row>
    <row r="87" spans="1:18" x14ac:dyDescent="0.25">
      <c r="B87" s="14" t="s">
        <v>9</v>
      </c>
      <c r="C87" s="13">
        <f t="shared" si="40"/>
        <v>632.20399999999995</v>
      </c>
      <c r="D87" s="10">
        <f t="shared" si="41"/>
        <v>663.38400000000001</v>
      </c>
      <c r="E87" s="9">
        <f t="shared" si="42"/>
        <v>788.15700000000004</v>
      </c>
      <c r="F87" s="8">
        <f t="shared" si="42"/>
        <v>684.02700000000004</v>
      </c>
      <c r="G87" s="7">
        <f t="shared" si="42"/>
        <v>576.20500000000004</v>
      </c>
      <c r="I87" s="12">
        <f t="shared" si="43"/>
        <v>529.21199999999999</v>
      </c>
      <c r="J87" s="10">
        <f t="shared" si="44"/>
        <v>496.40199999999999</v>
      </c>
      <c r="K87" s="9">
        <f t="shared" si="45"/>
        <v>590.58000000000004</v>
      </c>
      <c r="L87" s="8">
        <f t="shared" si="46"/>
        <v>492.05799999999999</v>
      </c>
      <c r="M87" s="7">
        <f t="shared" si="46"/>
        <v>461.48399999999998</v>
      </c>
      <c r="N87" s="11">
        <f t="shared" si="47"/>
        <v>102.992</v>
      </c>
      <c r="O87" s="10">
        <f t="shared" si="48"/>
        <v>166.982</v>
      </c>
      <c r="P87" s="9">
        <f t="shared" si="49"/>
        <v>197.577</v>
      </c>
      <c r="Q87" s="8">
        <f t="shared" si="49"/>
        <v>191.96899999999999</v>
      </c>
      <c r="R87" s="7">
        <f t="shared" si="49"/>
        <v>114.721</v>
      </c>
    </row>
    <row r="88" spans="1:18" x14ac:dyDescent="0.25">
      <c r="B88" s="14" t="s">
        <v>8</v>
      </c>
      <c r="C88" s="13">
        <f t="shared" si="40"/>
        <v>673.12300000000005</v>
      </c>
      <c r="D88" s="10">
        <f t="shared" si="41"/>
        <v>625.27300000000002</v>
      </c>
      <c r="E88" s="9">
        <f t="shared" si="42"/>
        <v>782.57</v>
      </c>
      <c r="F88" s="8">
        <f t="shared" si="42"/>
        <v>606.11099999999999</v>
      </c>
      <c r="G88" s="7">
        <f t="shared" si="42"/>
        <v>556.745</v>
      </c>
      <c r="I88" s="12">
        <f t="shared" si="43"/>
        <v>531.06700000000001</v>
      </c>
      <c r="J88" s="10">
        <f t="shared" si="44"/>
        <v>476.37799999999999</v>
      </c>
      <c r="K88" s="9">
        <f t="shared" si="45"/>
        <v>574.06200000000001</v>
      </c>
      <c r="L88" s="8">
        <f t="shared" si="46"/>
        <v>443.76799999999997</v>
      </c>
      <c r="M88" s="7">
        <f t="shared" si="46"/>
        <v>447.94799999999998</v>
      </c>
      <c r="N88" s="11">
        <f t="shared" si="47"/>
        <v>142.05699999999999</v>
      </c>
      <c r="O88" s="10">
        <f t="shared" si="48"/>
        <v>148.89500000000001</v>
      </c>
      <c r="P88" s="9">
        <f t="shared" si="49"/>
        <v>208.50800000000001</v>
      </c>
      <c r="Q88" s="8">
        <f t="shared" si="49"/>
        <v>162.34299999999999</v>
      </c>
      <c r="R88" s="7">
        <f t="shared" si="49"/>
        <v>108.797</v>
      </c>
    </row>
    <row r="89" spans="1:18" x14ac:dyDescent="0.25">
      <c r="B89" s="14" t="s">
        <v>7</v>
      </c>
      <c r="C89" s="13">
        <f t="shared" si="40"/>
        <v>621.13400000000001</v>
      </c>
      <c r="D89" s="10">
        <f t="shared" si="41"/>
        <v>658.88699999999994</v>
      </c>
      <c r="E89" s="9">
        <f t="shared" si="42"/>
        <v>808.28200000000004</v>
      </c>
      <c r="F89" s="8">
        <f t="shared" si="42"/>
        <v>670.85799999999995</v>
      </c>
      <c r="G89" s="7">
        <f t="shared" si="42"/>
        <v>616.88300000000004</v>
      </c>
      <c r="I89" s="12">
        <f t="shared" si="43"/>
        <v>512.14400000000001</v>
      </c>
      <c r="J89" s="10">
        <f t="shared" si="44"/>
        <v>504.38499999999999</v>
      </c>
      <c r="K89" s="9">
        <f t="shared" si="45"/>
        <v>590.68399999999997</v>
      </c>
      <c r="L89" s="8">
        <f t="shared" si="46"/>
        <v>491.36399999999998</v>
      </c>
      <c r="M89" s="7">
        <f t="shared" si="46"/>
        <v>489.42899999999997</v>
      </c>
      <c r="N89" s="11">
        <f t="shared" si="47"/>
        <v>108.99</v>
      </c>
      <c r="O89" s="10">
        <f t="shared" si="48"/>
        <v>154.50200000000001</v>
      </c>
      <c r="P89" s="9">
        <f t="shared" si="49"/>
        <v>217.59800000000001</v>
      </c>
      <c r="Q89" s="8">
        <f t="shared" si="49"/>
        <v>179.494</v>
      </c>
      <c r="R89" s="7">
        <f t="shared" si="49"/>
        <v>127.455</v>
      </c>
    </row>
    <row r="90" spans="1:18" x14ac:dyDescent="0.25">
      <c r="B90" s="14" t="s">
        <v>6</v>
      </c>
      <c r="C90" s="13">
        <f t="shared" si="40"/>
        <v>639.98800000000006</v>
      </c>
      <c r="D90" s="10">
        <f t="shared" si="41"/>
        <v>674.52200000000005</v>
      </c>
      <c r="E90" s="9">
        <f t="shared" si="42"/>
        <v>800.65700000000004</v>
      </c>
      <c r="F90" s="8">
        <f t="shared" si="42"/>
        <v>527.41200000000003</v>
      </c>
      <c r="G90" s="7">
        <f t="shared" si="42"/>
        <v>0</v>
      </c>
      <c r="I90" s="12">
        <f t="shared" si="43"/>
        <v>526.31399999999996</v>
      </c>
      <c r="J90" s="10">
        <f t="shared" si="44"/>
        <v>524.73800000000006</v>
      </c>
      <c r="K90" s="9">
        <f t="shared" si="45"/>
        <v>605.70299999999997</v>
      </c>
      <c r="L90" s="8">
        <f t="shared" si="46"/>
        <v>439.45</v>
      </c>
      <c r="M90" s="7">
        <f t="shared" si="46"/>
        <v>0</v>
      </c>
      <c r="N90" s="11">
        <f t="shared" si="47"/>
        <v>113.67400000000001</v>
      </c>
      <c r="O90" s="10">
        <f t="shared" si="48"/>
        <v>149.78399999999999</v>
      </c>
      <c r="P90" s="9">
        <f t="shared" si="49"/>
        <v>194.95400000000001</v>
      </c>
      <c r="Q90" s="8">
        <f t="shared" si="49"/>
        <v>87.962000000000003</v>
      </c>
      <c r="R90" s="7">
        <f t="shared" si="49"/>
        <v>0</v>
      </c>
    </row>
    <row r="91" spans="1:18" x14ac:dyDescent="0.25">
      <c r="B91" s="14" t="s">
        <v>5</v>
      </c>
      <c r="C91" s="13">
        <f t="shared" si="40"/>
        <v>643.89</v>
      </c>
      <c r="D91" s="10">
        <f t="shared" si="41"/>
        <v>642.02099999999996</v>
      </c>
      <c r="E91" s="9">
        <f t="shared" si="42"/>
        <v>711.89499999999998</v>
      </c>
      <c r="F91" s="8">
        <f t="shared" si="42"/>
        <v>474.24700000000001</v>
      </c>
      <c r="G91" s="7">
        <f t="shared" si="42"/>
        <v>0</v>
      </c>
      <c r="I91" s="12">
        <f t="shared" si="43"/>
        <v>540.06600000000003</v>
      </c>
      <c r="J91" s="10">
        <f t="shared" si="44"/>
        <v>493.07400000000001</v>
      </c>
      <c r="K91" s="9">
        <f t="shared" si="45"/>
        <v>527.57799999999997</v>
      </c>
      <c r="L91" s="8">
        <f t="shared" si="46"/>
        <v>382.23700000000002</v>
      </c>
      <c r="M91" s="7">
        <f t="shared" si="46"/>
        <v>0</v>
      </c>
      <c r="N91" s="11">
        <f t="shared" si="47"/>
        <v>103.824</v>
      </c>
      <c r="O91" s="10">
        <f t="shared" si="48"/>
        <v>148.947</v>
      </c>
      <c r="P91" s="9">
        <f t="shared" si="49"/>
        <v>184.31700000000001</v>
      </c>
      <c r="Q91" s="8">
        <f t="shared" si="49"/>
        <v>92.01</v>
      </c>
      <c r="R91" s="7">
        <f t="shared" si="49"/>
        <v>0</v>
      </c>
    </row>
    <row r="92" spans="1:18" x14ac:dyDescent="0.25">
      <c r="B92" s="14" t="s">
        <v>4</v>
      </c>
      <c r="C92" s="13">
        <f t="shared" si="40"/>
        <v>685.68700000000001</v>
      </c>
      <c r="D92" s="10">
        <f t="shared" si="41"/>
        <v>609.50599999999997</v>
      </c>
      <c r="E92" s="9">
        <f t="shared" si="42"/>
        <v>718.76300000000003</v>
      </c>
      <c r="F92" s="8">
        <f t="shared" si="42"/>
        <v>536.08100000000002</v>
      </c>
      <c r="G92" s="7">
        <f t="shared" si="42"/>
        <v>0</v>
      </c>
      <c r="I92" s="12">
        <f t="shared" si="43"/>
        <v>535.74699999999996</v>
      </c>
      <c r="J92" s="10">
        <f t="shared" si="44"/>
        <v>495.90300000000002</v>
      </c>
      <c r="K92" s="9">
        <f t="shared" si="45"/>
        <v>556.94500000000005</v>
      </c>
      <c r="L92" s="8">
        <f t="shared" si="46"/>
        <v>440.863</v>
      </c>
      <c r="M92" s="7">
        <f t="shared" si="46"/>
        <v>0</v>
      </c>
      <c r="N92" s="11">
        <f t="shared" si="47"/>
        <v>149.94</v>
      </c>
      <c r="O92" s="10">
        <f t="shared" si="48"/>
        <v>113.60299999999999</v>
      </c>
      <c r="P92" s="9">
        <f t="shared" si="49"/>
        <v>161.81899999999999</v>
      </c>
      <c r="Q92" s="8">
        <f t="shared" si="49"/>
        <v>95.218000000000004</v>
      </c>
      <c r="R92" s="7">
        <f t="shared" si="49"/>
        <v>0</v>
      </c>
    </row>
    <row r="93" spans="1:18" x14ac:dyDescent="0.25">
      <c r="B93" s="14" t="s">
        <v>3</v>
      </c>
      <c r="C93" s="13">
        <f t="shared" si="40"/>
        <v>592.87900000000002</v>
      </c>
      <c r="D93" s="10">
        <f t="shared" si="41"/>
        <v>596.46500000000003</v>
      </c>
      <c r="E93" s="9">
        <f t="shared" si="42"/>
        <v>646.18799999999999</v>
      </c>
      <c r="F93" s="8">
        <f t="shared" si="42"/>
        <v>485.99</v>
      </c>
      <c r="G93" s="7">
        <f t="shared" si="42"/>
        <v>0</v>
      </c>
      <c r="I93" s="12">
        <f t="shared" si="43"/>
        <v>509.07900000000001</v>
      </c>
      <c r="J93" s="10">
        <f t="shared" si="44"/>
        <v>477.12599999999998</v>
      </c>
      <c r="K93" s="9">
        <f t="shared" si="45"/>
        <v>491.50900000000001</v>
      </c>
      <c r="L93" s="8">
        <f t="shared" si="46"/>
        <v>392.23599999999999</v>
      </c>
      <c r="M93" s="7">
        <f t="shared" si="46"/>
        <v>0</v>
      </c>
      <c r="N93" s="11">
        <f t="shared" si="47"/>
        <v>83.8</v>
      </c>
      <c r="O93" s="10">
        <f t="shared" si="48"/>
        <v>119.34</v>
      </c>
      <c r="P93" s="9">
        <f t="shared" si="49"/>
        <v>154.679</v>
      </c>
      <c r="Q93" s="8">
        <f t="shared" si="49"/>
        <v>93.754000000000005</v>
      </c>
      <c r="R93" s="7">
        <f t="shared" si="49"/>
        <v>0</v>
      </c>
    </row>
    <row r="94" spans="1:18" x14ac:dyDescent="0.25">
      <c r="B94" s="14" t="s">
        <v>2</v>
      </c>
      <c r="C94" s="13">
        <f t="shared" si="40"/>
        <v>618.88699999999994</v>
      </c>
      <c r="D94" s="10">
        <f t="shared" si="41"/>
        <v>580.74699999999996</v>
      </c>
      <c r="E94" s="9">
        <f t="shared" si="42"/>
        <v>604.17399999999998</v>
      </c>
      <c r="F94" s="8">
        <f t="shared" si="42"/>
        <v>445.74599999999998</v>
      </c>
      <c r="G94" s="7">
        <f t="shared" si="42"/>
        <v>0</v>
      </c>
      <c r="I94" s="12">
        <f t="shared" si="43"/>
        <v>491.41699999999997</v>
      </c>
      <c r="J94" s="10">
        <f t="shared" si="44"/>
        <v>462.904</v>
      </c>
      <c r="K94" s="9">
        <f t="shared" si="45"/>
        <v>473.69799999999998</v>
      </c>
      <c r="L94" s="8">
        <f t="shared" si="46"/>
        <v>341.54599999999999</v>
      </c>
      <c r="M94" s="7">
        <f t="shared" si="46"/>
        <v>0</v>
      </c>
      <c r="N94" s="11">
        <f t="shared" si="47"/>
        <v>127.46899999999999</v>
      </c>
      <c r="O94" s="10">
        <f t="shared" si="48"/>
        <v>117.843</v>
      </c>
      <c r="P94" s="9">
        <f t="shared" si="49"/>
        <v>130.476</v>
      </c>
      <c r="Q94" s="8">
        <f t="shared" si="49"/>
        <v>104.199</v>
      </c>
      <c r="R94" s="7">
        <f t="shared" si="49"/>
        <v>0</v>
      </c>
    </row>
    <row r="95" spans="1:18" x14ac:dyDescent="0.25">
      <c r="A95" s="21"/>
      <c r="B95" s="23" t="s">
        <v>1</v>
      </c>
      <c r="C95" s="20">
        <f>SUM(C83:C94)</f>
        <v>7399.3430000000008</v>
      </c>
      <c r="D95" s="20">
        <f>SUM(D83:D94)</f>
        <v>7329.3250000000007</v>
      </c>
      <c r="E95" s="20">
        <f>SUM(E83:E94)</f>
        <v>8299.3179999999993</v>
      </c>
      <c r="F95" s="20">
        <f>SUM(F83:F94)</f>
        <v>6892.7890000000007</v>
      </c>
      <c r="G95" s="22">
        <f>SUM(G83:G94)</f>
        <v>3882.1769999999997</v>
      </c>
      <c r="H95" s="21"/>
      <c r="I95" s="20">
        <f t="shared" ref="I95:R95" si="50">SUM(I83:I94)</f>
        <v>6123.5400000000009</v>
      </c>
      <c r="J95" s="20">
        <f t="shared" si="50"/>
        <v>5752.6329999999998</v>
      </c>
      <c r="K95" s="20">
        <f t="shared" si="50"/>
        <v>6379.3469999999998</v>
      </c>
      <c r="L95" s="20">
        <f t="shared" si="50"/>
        <v>5224.7389999999996</v>
      </c>
      <c r="M95" s="20">
        <f t="shared" si="50"/>
        <v>3110.8649999999998</v>
      </c>
      <c r="N95" s="20">
        <f t="shared" si="50"/>
        <v>1275.8029999999999</v>
      </c>
      <c r="O95" s="20">
        <f t="shared" si="50"/>
        <v>1576.6930000000002</v>
      </c>
      <c r="P95" s="20">
        <f t="shared" si="50"/>
        <v>1919.9720000000002</v>
      </c>
      <c r="Q95" s="20">
        <f t="shared" si="50"/>
        <v>1668.049</v>
      </c>
      <c r="R95" s="20">
        <f t="shared" si="50"/>
        <v>771.31200000000001</v>
      </c>
    </row>
    <row r="97" spans="1:18" x14ac:dyDescent="0.25">
      <c r="A97" s="19" t="s">
        <v>20</v>
      </c>
    </row>
    <row r="99" spans="1:18" x14ac:dyDescent="0.25">
      <c r="B99" s="18"/>
      <c r="C99" s="57" t="s">
        <v>19</v>
      </c>
      <c r="D99" s="57"/>
      <c r="E99" s="57"/>
      <c r="F99" s="57"/>
      <c r="G99" s="57"/>
      <c r="I99" s="57" t="s">
        <v>18</v>
      </c>
      <c r="J99" s="57"/>
      <c r="K99" s="57"/>
      <c r="L99" s="57"/>
      <c r="M99" s="57"/>
      <c r="N99" s="57" t="s">
        <v>17</v>
      </c>
      <c r="O99" s="57"/>
      <c r="P99" s="57"/>
      <c r="Q99" s="57"/>
      <c r="R99" s="57"/>
    </row>
    <row r="100" spans="1:18" x14ac:dyDescent="0.25">
      <c r="B100" s="58" t="s">
        <v>16</v>
      </c>
      <c r="C100" s="17">
        <v>2022</v>
      </c>
      <c r="D100" s="17">
        <v>2023</v>
      </c>
      <c r="E100" s="17">
        <v>2024</v>
      </c>
      <c r="F100" s="17">
        <v>2025</v>
      </c>
      <c r="G100" s="17">
        <v>2026</v>
      </c>
      <c r="I100" s="17">
        <v>2022</v>
      </c>
      <c r="J100" s="17">
        <v>2023</v>
      </c>
      <c r="K100" s="17">
        <v>2024</v>
      </c>
      <c r="L100" s="17">
        <v>2025</v>
      </c>
      <c r="M100" s="17">
        <v>2026</v>
      </c>
      <c r="N100" s="17">
        <v>2022</v>
      </c>
      <c r="O100" s="17">
        <v>2023</v>
      </c>
      <c r="P100" s="17">
        <v>2024</v>
      </c>
      <c r="Q100" s="17">
        <v>2025</v>
      </c>
      <c r="R100" s="17">
        <v>2026</v>
      </c>
    </row>
    <row r="101" spans="1:18" ht="18" x14ac:dyDescent="0.25">
      <c r="B101" s="58"/>
      <c r="C101" s="16" t="s">
        <v>15</v>
      </c>
      <c r="D101" s="16" t="s">
        <v>14</v>
      </c>
      <c r="E101" s="16" t="s">
        <v>14</v>
      </c>
      <c r="F101" s="16" t="s">
        <v>14</v>
      </c>
      <c r="G101" s="16" t="s">
        <v>14</v>
      </c>
      <c r="I101" s="16" t="s">
        <v>14</v>
      </c>
      <c r="J101" s="16" t="s">
        <v>14</v>
      </c>
      <c r="K101" s="16" t="s">
        <v>14</v>
      </c>
      <c r="L101" s="16" t="s">
        <v>14</v>
      </c>
      <c r="M101" s="16" t="s">
        <v>14</v>
      </c>
      <c r="N101" s="16" t="s">
        <v>14</v>
      </c>
      <c r="O101" s="16" t="s">
        <v>14</v>
      </c>
      <c r="P101" s="16" t="s">
        <v>14</v>
      </c>
      <c r="Q101" s="16" t="s">
        <v>14</v>
      </c>
      <c r="R101" s="16" t="s">
        <v>14</v>
      </c>
    </row>
    <row r="102" spans="1:18" x14ac:dyDescent="0.25">
      <c r="B102" s="14" t="s">
        <v>13</v>
      </c>
      <c r="C102" s="13">
        <f>ROUND(C26*0.769/1000,3)</f>
        <v>0</v>
      </c>
      <c r="D102" s="15">
        <f>ROUND(D26*0.76/1000,3)</f>
        <v>65.075000000000003</v>
      </c>
      <c r="E102" s="9">
        <f>ROUND(E26*0.74/1000,3)</f>
        <v>54.924999999999997</v>
      </c>
      <c r="F102" s="8">
        <f>ROUND(F26*0.74/1000,3)</f>
        <v>61.011000000000003</v>
      </c>
      <c r="G102" s="7">
        <f>ROUND(G26*0.74/1000,3)</f>
        <v>60.798000000000002</v>
      </c>
      <c r="I102" s="12">
        <f>ROUND(I26*0.769/1000,3)</f>
        <v>0</v>
      </c>
      <c r="J102" s="10">
        <f>ROUND(J26*0.774/1000,3)</f>
        <v>33.323999999999998</v>
      </c>
      <c r="K102" s="9">
        <f>ROUND(K26*0.774/1000,3)</f>
        <v>24.968</v>
      </c>
      <c r="L102" s="56">
        <f>ROUND(L26*0.74/1000,3)</f>
        <v>30.893000000000001</v>
      </c>
      <c r="M102" s="7">
        <f>ROUND(M26*0.74/1000,3)</f>
        <v>30.04</v>
      </c>
      <c r="N102" s="11">
        <f>ROUND(N26*0.769/1000,3)</f>
        <v>0</v>
      </c>
      <c r="O102" s="10">
        <f>ROUND(O26*0.76/1000,3)</f>
        <v>32.353999999999999</v>
      </c>
      <c r="P102" s="9">
        <f>ROUND(P26*0.74/1000,3)</f>
        <v>31.053999999999998</v>
      </c>
      <c r="Q102" s="8">
        <f>ROUND(Q26*0.74/1000,3)</f>
        <v>30.117999999999999</v>
      </c>
      <c r="R102" s="7">
        <f>ROUND(R26*0.74/1000,3)</f>
        <v>30.757999999999999</v>
      </c>
    </row>
    <row r="103" spans="1:18" x14ac:dyDescent="0.25">
      <c r="B103" s="14" t="s">
        <v>12</v>
      </c>
      <c r="C103" s="13">
        <f t="shared" ref="C103:C113" si="51">ROUND(C27*0.769/1000,3)</f>
        <v>0</v>
      </c>
      <c r="D103" s="10">
        <f t="shared" ref="D103:D113" si="52">ROUND(D27*0.76/1000,3)</f>
        <v>60.012999999999998</v>
      </c>
      <c r="E103" s="9">
        <f t="shared" ref="E103:G103" si="53">ROUND(E27*0.74/1000,3)</f>
        <v>69.799000000000007</v>
      </c>
      <c r="F103" s="8">
        <f t="shared" si="53"/>
        <v>64.117999999999995</v>
      </c>
      <c r="G103" s="7">
        <f t="shared" si="53"/>
        <v>64.266999999999996</v>
      </c>
      <c r="I103" s="12">
        <f t="shared" ref="I103:I113" si="54">ROUND(I27*0.769/1000,3)</f>
        <v>0</v>
      </c>
      <c r="J103" s="10">
        <f t="shared" ref="J103:J113" si="55">ROUND(J27*0.774/1000,3)</f>
        <v>31.587</v>
      </c>
      <c r="K103" s="9">
        <f t="shared" ref="K103:K113" si="56">ROUND(K27*0.774/1000,3)</f>
        <v>35.756999999999998</v>
      </c>
      <c r="L103" s="56">
        <f t="shared" ref="L103:M113" si="57">ROUND(L27*0.74/1000,3)</f>
        <v>32.265000000000001</v>
      </c>
      <c r="M103" s="7">
        <f t="shared" si="57"/>
        <v>31.957000000000001</v>
      </c>
      <c r="N103" s="11">
        <f t="shared" ref="N103:N113" si="58">ROUND(N27*0.769/1000,3)</f>
        <v>0</v>
      </c>
      <c r="O103" s="10">
        <f t="shared" ref="O103:O113" si="59">ROUND(O27*0.76/1000,3)</f>
        <v>28.997</v>
      </c>
      <c r="P103" s="9">
        <f t="shared" ref="P103:R103" si="60">ROUND(P27*0.74/1000,3)</f>
        <v>35.612000000000002</v>
      </c>
      <c r="Q103" s="8">
        <f t="shared" si="60"/>
        <v>31.853000000000002</v>
      </c>
      <c r="R103" s="7">
        <f t="shared" si="60"/>
        <v>32.31</v>
      </c>
    </row>
    <row r="104" spans="1:18" x14ac:dyDescent="0.25">
      <c r="B104" s="14" t="s">
        <v>11</v>
      </c>
      <c r="C104" s="13">
        <f t="shared" si="51"/>
        <v>0</v>
      </c>
      <c r="D104" s="10">
        <f t="shared" si="52"/>
        <v>74.893000000000001</v>
      </c>
      <c r="E104" s="9">
        <f t="shared" ref="E104:G104" si="61">ROUND(E28*0.74/1000,3)</f>
        <v>74.739999999999995</v>
      </c>
      <c r="F104" s="8">
        <f t="shared" si="61"/>
        <v>67.793000000000006</v>
      </c>
      <c r="G104" s="7">
        <f t="shared" si="61"/>
        <v>76.662999999999997</v>
      </c>
      <c r="I104" s="12">
        <f t="shared" si="54"/>
        <v>0</v>
      </c>
      <c r="J104" s="10">
        <f t="shared" si="55"/>
        <v>38.576999999999998</v>
      </c>
      <c r="K104" s="9">
        <f t="shared" si="56"/>
        <v>38.984999999999999</v>
      </c>
      <c r="L104" s="56">
        <f t="shared" si="57"/>
        <v>34.290999999999997</v>
      </c>
      <c r="M104" s="7">
        <f t="shared" si="57"/>
        <v>37.984000000000002</v>
      </c>
      <c r="N104" s="11">
        <f t="shared" si="58"/>
        <v>0</v>
      </c>
      <c r="O104" s="10">
        <f t="shared" si="59"/>
        <v>37.014000000000003</v>
      </c>
      <c r="P104" s="9">
        <f t="shared" ref="P104:R104" si="62">ROUND(P28*0.74/1000,3)</f>
        <v>37.466999999999999</v>
      </c>
      <c r="Q104" s="8">
        <f t="shared" si="62"/>
        <v>33.502000000000002</v>
      </c>
      <c r="R104" s="7">
        <f t="shared" si="62"/>
        <v>38.679000000000002</v>
      </c>
    </row>
    <row r="105" spans="1:18" x14ac:dyDescent="0.25">
      <c r="B105" s="14" t="s">
        <v>10</v>
      </c>
      <c r="C105" s="13">
        <f t="shared" si="51"/>
        <v>0</v>
      </c>
      <c r="D105" s="10">
        <f t="shared" si="52"/>
        <v>73.944000000000003</v>
      </c>
      <c r="E105" s="9">
        <f t="shared" ref="E105:G105" si="63">ROUND(E29*0.74/1000,3)</f>
        <v>77.994</v>
      </c>
      <c r="F105" s="8">
        <f t="shared" si="63"/>
        <v>70.616</v>
      </c>
      <c r="G105" s="7">
        <f t="shared" si="63"/>
        <v>65.802000000000007</v>
      </c>
      <c r="I105" s="12">
        <f t="shared" si="54"/>
        <v>0</v>
      </c>
      <c r="J105" s="10">
        <f t="shared" si="55"/>
        <v>38.118000000000002</v>
      </c>
      <c r="K105" s="9">
        <f t="shared" si="56"/>
        <v>46.268999999999998</v>
      </c>
      <c r="L105" s="56">
        <f t="shared" si="57"/>
        <v>35.664000000000001</v>
      </c>
      <c r="M105" s="7">
        <f t="shared" si="57"/>
        <v>32.957999999999998</v>
      </c>
      <c r="N105" s="11">
        <f t="shared" si="58"/>
        <v>0</v>
      </c>
      <c r="O105" s="10">
        <f t="shared" si="59"/>
        <v>36.515999999999998</v>
      </c>
      <c r="P105" s="9">
        <f t="shared" ref="P105:R105" si="64">ROUND(P29*0.74/1000,3)</f>
        <v>33.758000000000003</v>
      </c>
      <c r="Q105" s="8">
        <f t="shared" si="64"/>
        <v>34.951999999999998</v>
      </c>
      <c r="R105" s="7">
        <f t="shared" si="64"/>
        <v>32.844000000000001</v>
      </c>
    </row>
    <row r="106" spans="1:18" x14ac:dyDescent="0.25">
      <c r="B106" s="14" t="s">
        <v>9</v>
      </c>
      <c r="C106" s="13">
        <f t="shared" si="51"/>
        <v>0</v>
      </c>
      <c r="D106" s="10">
        <f t="shared" si="52"/>
        <v>81.588999999999999</v>
      </c>
      <c r="E106" s="9">
        <f t="shared" ref="E106:G106" si="65">ROUND(E30*0.74/1000,3)</f>
        <v>64.965999999999994</v>
      </c>
      <c r="F106" s="8">
        <f t="shared" si="65"/>
        <v>65.736999999999995</v>
      </c>
      <c r="G106" s="7">
        <f t="shared" si="65"/>
        <v>66.953000000000003</v>
      </c>
      <c r="I106" s="12">
        <f t="shared" si="54"/>
        <v>0</v>
      </c>
      <c r="J106" s="10">
        <f t="shared" si="55"/>
        <v>41.713000000000001</v>
      </c>
      <c r="K106" s="9">
        <f t="shared" si="56"/>
        <v>33.997999999999998</v>
      </c>
      <c r="L106" s="56">
        <f t="shared" si="57"/>
        <v>33.17</v>
      </c>
      <c r="M106" s="7">
        <f t="shared" si="57"/>
        <v>33.703000000000003</v>
      </c>
      <c r="N106" s="11">
        <f t="shared" si="58"/>
        <v>0</v>
      </c>
      <c r="O106" s="10">
        <f t="shared" si="59"/>
        <v>40.631</v>
      </c>
      <c r="P106" s="9">
        <f t="shared" ref="P106:R106" si="66">ROUND(P30*0.74/1000,3)</f>
        <v>32.460999999999999</v>
      </c>
      <c r="Q106" s="8">
        <f t="shared" si="66"/>
        <v>32.567</v>
      </c>
      <c r="R106" s="7">
        <f t="shared" si="66"/>
        <v>33.249000000000002</v>
      </c>
    </row>
    <row r="107" spans="1:18" x14ac:dyDescent="0.25">
      <c r="B107" s="14" t="s">
        <v>8</v>
      </c>
      <c r="C107" s="13">
        <f t="shared" si="51"/>
        <v>0</v>
      </c>
      <c r="D107" s="10">
        <f t="shared" si="52"/>
        <v>73.004000000000005</v>
      </c>
      <c r="E107" s="9">
        <f t="shared" ref="E107:G107" si="67">ROUND(E31*0.74/1000,3)</f>
        <v>64.513000000000005</v>
      </c>
      <c r="F107" s="8">
        <f t="shared" si="67"/>
        <v>64.789000000000001</v>
      </c>
      <c r="G107" s="7">
        <f t="shared" si="67"/>
        <v>61.732999999999997</v>
      </c>
      <c r="I107" s="12">
        <f t="shared" si="54"/>
        <v>0</v>
      </c>
      <c r="J107" s="10">
        <f t="shared" si="55"/>
        <v>37.972000000000001</v>
      </c>
      <c r="K107" s="9">
        <f t="shared" si="56"/>
        <v>33.783999999999999</v>
      </c>
      <c r="L107" s="56">
        <f t="shared" si="57"/>
        <v>32.612000000000002</v>
      </c>
      <c r="M107" s="7">
        <f t="shared" si="57"/>
        <v>31.088999999999999</v>
      </c>
      <c r="N107" s="11">
        <f t="shared" si="58"/>
        <v>0</v>
      </c>
      <c r="O107" s="10">
        <f t="shared" si="59"/>
        <v>35.718000000000004</v>
      </c>
      <c r="P107" s="9">
        <f t="shared" ref="P107:R107" si="68">ROUND(P31*0.74/1000,3)</f>
        <v>32.213999999999999</v>
      </c>
      <c r="Q107" s="8">
        <f t="shared" si="68"/>
        <v>32.177</v>
      </c>
      <c r="R107" s="7">
        <f t="shared" si="68"/>
        <v>30.643999999999998</v>
      </c>
    </row>
    <row r="108" spans="1:18" x14ac:dyDescent="0.25">
      <c r="B108" s="14" t="s">
        <v>7</v>
      </c>
      <c r="C108" s="13">
        <f t="shared" si="51"/>
        <v>0</v>
      </c>
      <c r="D108" s="10">
        <f t="shared" si="52"/>
        <v>67.988</v>
      </c>
      <c r="E108" s="9">
        <f t="shared" ref="E108:G108" si="69">ROUND(E32*0.74/1000,3)</f>
        <v>69.031000000000006</v>
      </c>
      <c r="F108" s="8">
        <f t="shared" si="69"/>
        <v>64.263000000000005</v>
      </c>
      <c r="G108" s="7">
        <f t="shared" si="69"/>
        <v>60.548999999999999</v>
      </c>
      <c r="I108" s="12">
        <f t="shared" si="54"/>
        <v>0</v>
      </c>
      <c r="J108" s="10">
        <f t="shared" si="55"/>
        <v>34.576000000000001</v>
      </c>
      <c r="K108" s="9">
        <f t="shared" si="56"/>
        <v>36.497999999999998</v>
      </c>
      <c r="L108" s="56">
        <f t="shared" si="57"/>
        <v>32.648000000000003</v>
      </c>
      <c r="M108" s="7">
        <f t="shared" si="57"/>
        <v>30.335999999999999</v>
      </c>
      <c r="N108" s="11">
        <f t="shared" si="58"/>
        <v>0</v>
      </c>
      <c r="O108" s="10">
        <f t="shared" si="59"/>
        <v>34.037999999999997</v>
      </c>
      <c r="P108" s="9">
        <f t="shared" ref="P108:R108" si="70">ROUND(P32*0.74/1000,3)</f>
        <v>34.137</v>
      </c>
      <c r="Q108" s="8">
        <f t="shared" si="70"/>
        <v>31.614999999999998</v>
      </c>
      <c r="R108" s="7">
        <f t="shared" si="70"/>
        <v>30.213000000000001</v>
      </c>
    </row>
    <row r="109" spans="1:18" x14ac:dyDescent="0.25">
      <c r="B109" s="14" t="s">
        <v>6</v>
      </c>
      <c r="C109" s="13">
        <f t="shared" si="51"/>
        <v>4.4999999999999998E-2</v>
      </c>
      <c r="D109" s="10">
        <f t="shared" si="52"/>
        <v>67.459000000000003</v>
      </c>
      <c r="E109" s="9">
        <f t="shared" ref="E109:G109" si="71">ROUND(E33*0.74/1000,3)</f>
        <v>65.558000000000007</v>
      </c>
      <c r="F109" s="8">
        <f t="shared" si="71"/>
        <v>69.173000000000002</v>
      </c>
      <c r="G109" s="7">
        <f t="shared" si="71"/>
        <v>0</v>
      </c>
      <c r="I109" s="12">
        <f t="shared" si="54"/>
        <v>4.4999999999999998E-2</v>
      </c>
      <c r="J109" s="10">
        <f t="shared" si="55"/>
        <v>34.514000000000003</v>
      </c>
      <c r="K109" s="9">
        <f t="shared" si="56"/>
        <v>34.762</v>
      </c>
      <c r="L109" s="56">
        <f t="shared" si="57"/>
        <v>35.32</v>
      </c>
      <c r="M109" s="7">
        <f t="shared" si="57"/>
        <v>0</v>
      </c>
      <c r="N109" s="11">
        <f t="shared" si="58"/>
        <v>0</v>
      </c>
      <c r="O109" s="10">
        <f t="shared" si="59"/>
        <v>33.569000000000003</v>
      </c>
      <c r="P109" s="9">
        <f t="shared" ref="P109:R109" si="72">ROUND(P33*0.74/1000,3)</f>
        <v>32.322000000000003</v>
      </c>
      <c r="Q109" s="8">
        <f t="shared" si="72"/>
        <v>33.851999999999997</v>
      </c>
      <c r="R109" s="7">
        <f t="shared" si="72"/>
        <v>0</v>
      </c>
    </row>
    <row r="110" spans="1:18" x14ac:dyDescent="0.25">
      <c r="B110" s="14" t="s">
        <v>5</v>
      </c>
      <c r="C110" s="13">
        <f t="shared" si="51"/>
        <v>5.1999999999999998E-2</v>
      </c>
      <c r="D110" s="10">
        <f t="shared" si="52"/>
        <v>69.522999999999996</v>
      </c>
      <c r="E110" s="9">
        <f t="shared" ref="E110:G110" si="73">ROUND(E34*0.74/1000,3)</f>
        <v>66.257999999999996</v>
      </c>
      <c r="F110" s="8">
        <f t="shared" si="73"/>
        <v>66.433000000000007</v>
      </c>
      <c r="G110" s="7">
        <f t="shared" si="73"/>
        <v>0</v>
      </c>
      <c r="I110" s="12">
        <f t="shared" si="54"/>
        <v>0</v>
      </c>
      <c r="J110" s="10">
        <f t="shared" si="55"/>
        <v>35.710999999999999</v>
      </c>
      <c r="K110" s="9">
        <f t="shared" si="56"/>
        <v>35.006999999999998</v>
      </c>
      <c r="L110" s="56">
        <f t="shared" si="57"/>
        <v>33.152000000000001</v>
      </c>
      <c r="M110" s="7">
        <f t="shared" si="57"/>
        <v>0</v>
      </c>
      <c r="N110" s="11">
        <f t="shared" si="58"/>
        <v>5.1999999999999998E-2</v>
      </c>
      <c r="O110" s="10">
        <f t="shared" si="59"/>
        <v>34.457000000000001</v>
      </c>
      <c r="P110" s="9">
        <f t="shared" ref="P110:R110" si="74">ROUND(P34*0.74/1000,3)</f>
        <v>32.789000000000001</v>
      </c>
      <c r="Q110" s="8">
        <f t="shared" si="74"/>
        <v>33.280999999999999</v>
      </c>
      <c r="R110" s="7">
        <f t="shared" si="74"/>
        <v>0</v>
      </c>
    </row>
    <row r="111" spans="1:18" x14ac:dyDescent="0.25">
      <c r="B111" s="14" t="s">
        <v>4</v>
      </c>
      <c r="C111" s="13">
        <f t="shared" si="51"/>
        <v>24.516999999999999</v>
      </c>
      <c r="D111" s="10">
        <f t="shared" si="52"/>
        <v>74.001000000000005</v>
      </c>
      <c r="E111" s="9">
        <f t="shared" ref="E111:G111" si="75">ROUND(E35*0.74/1000,3)</f>
        <v>68.537000000000006</v>
      </c>
      <c r="F111" s="8">
        <f t="shared" si="75"/>
        <v>71.400000000000006</v>
      </c>
      <c r="G111" s="7">
        <f t="shared" si="75"/>
        <v>0</v>
      </c>
      <c r="I111" s="12">
        <f t="shared" si="54"/>
        <v>13.645</v>
      </c>
      <c r="J111" s="10">
        <f t="shared" si="55"/>
        <v>38.066000000000003</v>
      </c>
      <c r="K111" s="9">
        <f t="shared" si="56"/>
        <v>36.042999999999999</v>
      </c>
      <c r="L111" s="56">
        <f t="shared" si="57"/>
        <v>35.427</v>
      </c>
      <c r="M111" s="7">
        <f t="shared" si="57"/>
        <v>0</v>
      </c>
      <c r="N111" s="11">
        <f t="shared" si="58"/>
        <v>10.872</v>
      </c>
      <c r="O111" s="10">
        <f t="shared" si="59"/>
        <v>36.622999999999998</v>
      </c>
      <c r="P111" s="9">
        <f t="shared" ref="P111:R111" si="76">ROUND(P35*0.74/1000,3)</f>
        <v>34.076999999999998</v>
      </c>
      <c r="Q111" s="8">
        <f t="shared" si="76"/>
        <v>35.973999999999997</v>
      </c>
      <c r="R111" s="7">
        <f t="shared" si="76"/>
        <v>0</v>
      </c>
    </row>
    <row r="112" spans="1:18" x14ac:dyDescent="0.25">
      <c r="B112" s="14" t="s">
        <v>3</v>
      </c>
      <c r="C112" s="13">
        <f t="shared" si="51"/>
        <v>56.76</v>
      </c>
      <c r="D112" s="10">
        <f t="shared" si="52"/>
        <v>63.143999999999998</v>
      </c>
      <c r="E112" s="9">
        <f t="shared" ref="E112:G112" si="77">ROUND(E36*0.74/1000,3)</f>
        <v>58.287999999999997</v>
      </c>
      <c r="F112" s="8">
        <f t="shared" si="77"/>
        <v>56.475999999999999</v>
      </c>
      <c r="G112" s="7">
        <f t="shared" si="77"/>
        <v>0</v>
      </c>
      <c r="I112" s="12">
        <f t="shared" si="54"/>
        <v>32.231999999999999</v>
      </c>
      <c r="J112" s="10">
        <f t="shared" si="55"/>
        <v>32.113</v>
      </c>
      <c r="K112" s="9">
        <f t="shared" si="56"/>
        <v>30.786999999999999</v>
      </c>
      <c r="L112" s="56">
        <f t="shared" si="57"/>
        <v>27.986999999999998</v>
      </c>
      <c r="M112" s="7">
        <f t="shared" si="57"/>
        <v>0</v>
      </c>
      <c r="N112" s="11">
        <f t="shared" si="58"/>
        <v>24.527999999999999</v>
      </c>
      <c r="O112" s="10">
        <f t="shared" si="59"/>
        <v>31.611999999999998</v>
      </c>
      <c r="P112" s="9">
        <f t="shared" ref="P112:R112" si="78">ROUND(P36*0.74/1000,3)</f>
        <v>28.853000000000002</v>
      </c>
      <c r="Q112" s="8">
        <f t="shared" si="78"/>
        <v>28.49</v>
      </c>
      <c r="R112" s="7">
        <f t="shared" si="78"/>
        <v>0</v>
      </c>
    </row>
    <row r="113" spans="2:18" x14ac:dyDescent="0.25">
      <c r="B113" s="14" t="s">
        <v>2</v>
      </c>
      <c r="C113" s="13">
        <f t="shared" si="51"/>
        <v>56.314999999999998</v>
      </c>
      <c r="D113" s="10">
        <f t="shared" si="52"/>
        <v>51.488999999999997</v>
      </c>
      <c r="E113" s="9">
        <f t="shared" ref="E113:G113" si="79">ROUND(E37*0.74/1000,3)</f>
        <v>54.2</v>
      </c>
      <c r="F113" s="8">
        <f t="shared" si="79"/>
        <v>58.405000000000001</v>
      </c>
      <c r="G113" s="7">
        <f t="shared" si="79"/>
        <v>0</v>
      </c>
      <c r="I113" s="12">
        <f t="shared" si="54"/>
        <v>31.338000000000001</v>
      </c>
      <c r="J113" s="10">
        <f t="shared" si="55"/>
        <v>21.704999999999998</v>
      </c>
      <c r="K113" s="9">
        <f t="shared" si="56"/>
        <v>28.425000000000001</v>
      </c>
      <c r="L113" s="56">
        <f t="shared" si="57"/>
        <v>28.966999999999999</v>
      </c>
      <c r="M113" s="7">
        <f t="shared" si="57"/>
        <v>0</v>
      </c>
      <c r="N113" s="11">
        <f t="shared" si="58"/>
        <v>24.977</v>
      </c>
      <c r="O113" s="10">
        <f t="shared" si="59"/>
        <v>30.177</v>
      </c>
      <c r="P113" s="9">
        <f t="shared" ref="P113:R113" si="80">ROUND(P37*0.74/1000,3)</f>
        <v>27.024000000000001</v>
      </c>
      <c r="Q113" s="8">
        <f t="shared" si="80"/>
        <v>29.437999999999999</v>
      </c>
      <c r="R113" s="7">
        <f t="shared" si="80"/>
        <v>0</v>
      </c>
    </row>
    <row r="114" spans="2:18" s="4" customFormat="1" x14ac:dyDescent="0.25">
      <c r="B114" s="6" t="s">
        <v>1</v>
      </c>
      <c r="C114" s="5">
        <f>SUM(C102:C113)</f>
        <v>137.68899999999999</v>
      </c>
      <c r="D114" s="5">
        <f>SUM(D102:D113)</f>
        <v>822.12200000000007</v>
      </c>
      <c r="E114" s="5">
        <f>SUM(E102:E113)</f>
        <v>788.8090000000002</v>
      </c>
      <c r="F114" s="5">
        <f>SUM(F102:F113)</f>
        <v>780.21399999999994</v>
      </c>
      <c r="G114" s="5">
        <f>SUM(G102:G113)</f>
        <v>456.76500000000004</v>
      </c>
      <c r="I114" s="5">
        <f t="shared" ref="I114:R114" si="81">SUM(I102:I113)</f>
        <v>77.259999999999991</v>
      </c>
      <c r="J114" s="5">
        <f t="shared" si="81"/>
        <v>417.976</v>
      </c>
      <c r="K114" s="5">
        <f t="shared" si="81"/>
        <v>415.28299999999996</v>
      </c>
      <c r="L114" s="5">
        <f>SUM(L102:L113)</f>
        <v>392.39600000000002</v>
      </c>
      <c r="M114" s="5">
        <f t="shared" si="81"/>
        <v>228.06700000000001</v>
      </c>
      <c r="N114" s="5">
        <f t="shared" si="81"/>
        <v>60.429000000000002</v>
      </c>
      <c r="O114" s="5">
        <f t="shared" si="81"/>
        <v>411.70600000000007</v>
      </c>
      <c r="P114" s="5">
        <f t="shared" si="81"/>
        <v>391.76799999999997</v>
      </c>
      <c r="Q114" s="5">
        <f t="shared" si="81"/>
        <v>387.81900000000002</v>
      </c>
      <c r="R114" s="5">
        <f t="shared" si="81"/>
        <v>228.697</v>
      </c>
    </row>
    <row r="115" spans="2:18" ht="25.5" x14ac:dyDescent="0.25">
      <c r="B115" s="3" t="s">
        <v>0</v>
      </c>
      <c r="D115" s="2">
        <f>D114*5</f>
        <v>4110.6100000000006</v>
      </c>
      <c r="E115" s="2">
        <f>E114*5</f>
        <v>3944.045000000001</v>
      </c>
      <c r="F115" s="2">
        <f>F114*5</f>
        <v>3901.0699999999997</v>
      </c>
      <c r="G115" s="2">
        <f>G114*5</f>
        <v>2283.8250000000003</v>
      </c>
      <c r="J115" s="2">
        <f t="shared" ref="J115:R115" si="82">J114*5</f>
        <v>2089.88</v>
      </c>
      <c r="K115" s="2">
        <f t="shared" si="82"/>
        <v>2076.415</v>
      </c>
      <c r="L115" s="2">
        <f t="shared" si="82"/>
        <v>1961.98</v>
      </c>
      <c r="M115" s="2">
        <f t="shared" si="82"/>
        <v>1140.335</v>
      </c>
      <c r="N115" s="2">
        <f t="shared" si="82"/>
        <v>302.14499999999998</v>
      </c>
      <c r="O115" s="2">
        <f t="shared" si="82"/>
        <v>2058.5300000000002</v>
      </c>
      <c r="P115" s="2">
        <f t="shared" si="82"/>
        <v>1958.84</v>
      </c>
      <c r="Q115" s="2">
        <f t="shared" si="82"/>
        <v>1939.095</v>
      </c>
      <c r="R115" s="2">
        <f t="shared" si="82"/>
        <v>1143.4850000000001</v>
      </c>
    </row>
  </sheetData>
  <mergeCells count="25">
    <mergeCell ref="A1:R1"/>
    <mergeCell ref="B81:B82"/>
    <mergeCell ref="B24:B25"/>
    <mergeCell ref="B43:B44"/>
    <mergeCell ref="B62:B63"/>
    <mergeCell ref="N42:R42"/>
    <mergeCell ref="I42:M42"/>
    <mergeCell ref="I23:M23"/>
    <mergeCell ref="N23:R23"/>
    <mergeCell ref="B5:B6"/>
    <mergeCell ref="I80:M80"/>
    <mergeCell ref="N80:R80"/>
    <mergeCell ref="I61:M61"/>
    <mergeCell ref="N61:R61"/>
    <mergeCell ref="C4:G4"/>
    <mergeCell ref="C99:G99"/>
    <mergeCell ref="I99:M99"/>
    <mergeCell ref="N99:R99"/>
    <mergeCell ref="B100:B101"/>
    <mergeCell ref="N4:R4"/>
    <mergeCell ref="I4:M4"/>
    <mergeCell ref="C23:G23"/>
    <mergeCell ref="C42:G42"/>
    <mergeCell ref="C61:G61"/>
    <mergeCell ref="C80:G80"/>
  </mergeCells>
  <pageMargins left="0.7" right="0.7" top="0.75" bottom="0.75" header="0.3" footer="0.3"/>
  <pageSetup paperSize="9"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Electricity</vt:lpstr>
      <vt:lpstr>Electricity!Print_Area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2026-05-18T01:27:05Z</dcterms:created>
  <dcterms:modified xsi:type="dcterms:W3CDTF">2026-08-17T09:18:56Z</dcterms:modified>
</cp:coreProperties>
</file>