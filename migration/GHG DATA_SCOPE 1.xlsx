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92.168.10.203\Esh\08 GHG PROJECT\GHG INVENTORY\CARBON FOOTPRINT DATA\SCOPE 1\"/>
    </mc:Choice>
  </mc:AlternateContent>
  <bookViews>
    <workbookView xWindow="0" yWindow="0" windowWidth="20490" windowHeight="6555" firstSheet="2" activeTab="4"/>
  </bookViews>
  <sheets>
    <sheet name="Total" sheetId="5" r:id="rId1"/>
    <sheet name="LPG 14kg" sheetId="1" r:id="rId2"/>
    <sheet name="LPG 50kg" sheetId="2" r:id="rId3"/>
    <sheet name="Diesel" sheetId="3" r:id="rId4"/>
    <sheet name="Petrol" sheetId="4" r:id="rId5"/>
  </sheets>
  <definedNames>
    <definedName name="_xlnm._FilterDatabase" localSheetId="3" hidden="1">Diesel!$B$24:$G$37</definedName>
    <definedName name="_xlnm._FilterDatabase" localSheetId="1" hidden="1">'LPG 14kg'!$B$24:$Q$37</definedName>
    <definedName name="_xlnm._FilterDatabase" localSheetId="2" hidden="1">'LPG 50kg'!$B$24:$G$37</definedName>
    <definedName name="_xlnm._FilterDatabase" localSheetId="4" hidden="1">Petrol!$B$24:$G$37</definedName>
    <definedName name="_xlnm.Print_Area" localSheetId="3">Diesel!$A$1:$M$57</definedName>
    <definedName name="_xlnm.Print_Area" localSheetId="1">'LPG 14kg'!$A$1:$R$70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4" l="1"/>
  <c r="G11" i="3"/>
  <c r="G13" i="3" l="1"/>
  <c r="G13" i="4"/>
  <c r="F37" i="4"/>
  <c r="E37" i="4"/>
  <c r="D37" i="4"/>
  <c r="F36" i="4"/>
  <c r="E36" i="4"/>
  <c r="D36" i="4"/>
  <c r="F35" i="4"/>
  <c r="E35" i="4"/>
  <c r="D35" i="4"/>
  <c r="F34" i="4"/>
  <c r="E34" i="4"/>
  <c r="D34" i="4"/>
  <c r="F33" i="4"/>
  <c r="E33" i="4"/>
  <c r="D33" i="4"/>
  <c r="F32" i="4"/>
  <c r="E32" i="4"/>
  <c r="D32" i="4"/>
  <c r="F31" i="4"/>
  <c r="E31" i="4"/>
  <c r="D31" i="4"/>
  <c r="F30" i="4"/>
  <c r="E30" i="4"/>
  <c r="D30" i="4"/>
  <c r="F29" i="4"/>
  <c r="E29" i="4"/>
  <c r="D29" i="4"/>
  <c r="F28" i="4"/>
  <c r="E28" i="4"/>
  <c r="D28" i="4"/>
  <c r="F27" i="4"/>
  <c r="E27" i="4"/>
  <c r="D27" i="4"/>
  <c r="F26" i="4"/>
  <c r="E26" i="4"/>
  <c r="D26" i="4"/>
  <c r="G27" i="4"/>
  <c r="G28" i="4"/>
  <c r="G29" i="4"/>
  <c r="G30" i="4"/>
  <c r="G31" i="4"/>
  <c r="G32" i="4"/>
  <c r="G33" i="4"/>
  <c r="G34" i="4"/>
  <c r="G35" i="4"/>
  <c r="G36" i="4"/>
  <c r="G37" i="4"/>
  <c r="G26" i="4"/>
  <c r="G31" i="2" l="1"/>
  <c r="G32" i="2"/>
  <c r="G33" i="2"/>
  <c r="G34" i="2"/>
  <c r="G35" i="2"/>
  <c r="G36" i="2"/>
  <c r="G37" i="2"/>
  <c r="F95" i="2" l="1"/>
  <c r="E95" i="2"/>
  <c r="D95" i="2"/>
  <c r="C95" i="2"/>
  <c r="F76" i="2"/>
  <c r="E76" i="2"/>
  <c r="D76" i="2"/>
  <c r="C76" i="2"/>
  <c r="A1" i="4" l="1"/>
  <c r="C19" i="4"/>
  <c r="D19" i="4"/>
  <c r="D38" i="4" s="1"/>
  <c r="E19" i="4"/>
  <c r="E38" i="4" s="1"/>
  <c r="F19" i="4"/>
  <c r="F38" i="4" s="1"/>
  <c r="G19" i="4"/>
  <c r="G38" i="4" s="1"/>
  <c r="C26" i="4"/>
  <c r="D45" i="4"/>
  <c r="G45" i="4"/>
  <c r="C27" i="4"/>
  <c r="C46" i="4" s="1"/>
  <c r="D46" i="4"/>
  <c r="F46" i="4"/>
  <c r="G46" i="4"/>
  <c r="C28" i="4"/>
  <c r="C47" i="4" s="1"/>
  <c r="F47" i="4"/>
  <c r="G47" i="4"/>
  <c r="C29" i="4"/>
  <c r="D48" i="4"/>
  <c r="E48" i="4"/>
  <c r="F48" i="4"/>
  <c r="G48" i="4"/>
  <c r="C30" i="4"/>
  <c r="C49" i="4" s="1"/>
  <c r="D49" i="4"/>
  <c r="E49" i="4"/>
  <c r="G49" i="4"/>
  <c r="C31" i="4"/>
  <c r="C50" i="4" s="1"/>
  <c r="G50" i="4"/>
  <c r="C32" i="4"/>
  <c r="C51" i="4" s="1"/>
  <c r="E51" i="4"/>
  <c r="F51" i="4"/>
  <c r="G51" i="4"/>
  <c r="C33" i="4"/>
  <c r="D52" i="4"/>
  <c r="E52" i="4"/>
  <c r="F52" i="4"/>
  <c r="C34" i="4"/>
  <c r="C53" i="4" s="1"/>
  <c r="D53" i="4"/>
  <c r="C35" i="4"/>
  <c r="C54" i="4" s="1"/>
  <c r="F54" i="4"/>
  <c r="G54" i="4"/>
  <c r="C36" i="4"/>
  <c r="C55" i="4" s="1"/>
  <c r="E55" i="4"/>
  <c r="F55" i="4"/>
  <c r="G55" i="4"/>
  <c r="C37" i="4"/>
  <c r="D56" i="4"/>
  <c r="E56" i="4"/>
  <c r="F56" i="4"/>
  <c r="C38" i="4"/>
  <c r="C45" i="4"/>
  <c r="E45" i="4"/>
  <c r="F45" i="4"/>
  <c r="E46" i="4"/>
  <c r="D47" i="4"/>
  <c r="E47" i="4"/>
  <c r="C48" i="4"/>
  <c r="F49" i="4"/>
  <c r="D50" i="4"/>
  <c r="E50" i="4"/>
  <c r="F50" i="4"/>
  <c r="D51" i="4"/>
  <c r="C52" i="4"/>
  <c r="G52" i="4"/>
  <c r="E53" i="4"/>
  <c r="F53" i="4"/>
  <c r="G53" i="4"/>
  <c r="D54" i="4"/>
  <c r="E54" i="4"/>
  <c r="D55" i="4"/>
  <c r="C56" i="4"/>
  <c r="G56" i="4"/>
  <c r="A1" i="3"/>
  <c r="C19" i="3"/>
  <c r="D19" i="3"/>
  <c r="E19" i="3"/>
  <c r="F19" i="3"/>
  <c r="G19" i="3"/>
  <c r="C26" i="3"/>
  <c r="D26" i="3"/>
  <c r="D45" i="3" s="1"/>
  <c r="E26" i="3"/>
  <c r="E45" i="3" s="1"/>
  <c r="F26" i="3"/>
  <c r="F45" i="3" s="1"/>
  <c r="G26" i="3"/>
  <c r="G45" i="3" s="1"/>
  <c r="C27" i="3"/>
  <c r="D27" i="3"/>
  <c r="D46" i="3" s="1"/>
  <c r="E27" i="3"/>
  <c r="E46" i="3" s="1"/>
  <c r="F27" i="3"/>
  <c r="F46" i="3" s="1"/>
  <c r="G27" i="3"/>
  <c r="C28" i="3"/>
  <c r="C47" i="3" s="1"/>
  <c r="D28" i="3"/>
  <c r="D47" i="3" s="1"/>
  <c r="E28" i="3"/>
  <c r="F28" i="3"/>
  <c r="F47" i="3" s="1"/>
  <c r="G28" i="3"/>
  <c r="G47" i="3" s="1"/>
  <c r="C29" i="3"/>
  <c r="C48" i="3" s="1"/>
  <c r="D29" i="3"/>
  <c r="E29" i="3"/>
  <c r="E48" i="3" s="1"/>
  <c r="F29" i="3"/>
  <c r="F48" i="3" s="1"/>
  <c r="G29" i="3"/>
  <c r="G48" i="3" s="1"/>
  <c r="C30" i="3"/>
  <c r="D30" i="3"/>
  <c r="D49" i="3" s="1"/>
  <c r="E30" i="3"/>
  <c r="E49" i="3" s="1"/>
  <c r="F30" i="3"/>
  <c r="F49" i="3" s="1"/>
  <c r="G30" i="3"/>
  <c r="G49" i="3" s="1"/>
  <c r="C31" i="3"/>
  <c r="C50" i="3" s="1"/>
  <c r="D31" i="3"/>
  <c r="D50" i="3" s="1"/>
  <c r="E31" i="3"/>
  <c r="E50" i="3" s="1"/>
  <c r="F31" i="3"/>
  <c r="G31" i="3"/>
  <c r="G50" i="3" s="1"/>
  <c r="C32" i="3"/>
  <c r="C51" i="3" s="1"/>
  <c r="D32" i="3"/>
  <c r="D51" i="3" s="1"/>
  <c r="E32" i="3"/>
  <c r="F32" i="3"/>
  <c r="F51" i="3" s="1"/>
  <c r="G32" i="3"/>
  <c r="G51" i="3" s="1"/>
  <c r="C33" i="3"/>
  <c r="C52" i="3" s="1"/>
  <c r="D33" i="3"/>
  <c r="E33" i="3"/>
  <c r="E52" i="3" s="1"/>
  <c r="F33" i="3"/>
  <c r="F52" i="3" s="1"/>
  <c r="G33" i="3"/>
  <c r="G52" i="3" s="1"/>
  <c r="C34" i="3"/>
  <c r="D34" i="3"/>
  <c r="D53" i="3" s="1"/>
  <c r="E34" i="3"/>
  <c r="E53" i="3" s="1"/>
  <c r="F34" i="3"/>
  <c r="F53" i="3" s="1"/>
  <c r="G34" i="3"/>
  <c r="C35" i="3"/>
  <c r="C54" i="3" s="1"/>
  <c r="D35" i="3"/>
  <c r="D54" i="3" s="1"/>
  <c r="E35" i="3"/>
  <c r="E54" i="3" s="1"/>
  <c r="F35" i="3"/>
  <c r="F54" i="3" s="1"/>
  <c r="G35" i="3"/>
  <c r="G54" i="3" s="1"/>
  <c r="C36" i="3"/>
  <c r="C55" i="3" s="1"/>
  <c r="D36" i="3"/>
  <c r="D55" i="3" s="1"/>
  <c r="E36" i="3"/>
  <c r="E55" i="3" s="1"/>
  <c r="F36" i="3"/>
  <c r="F55" i="3" s="1"/>
  <c r="G36" i="3"/>
  <c r="G55" i="3" s="1"/>
  <c r="C37" i="3"/>
  <c r="C56" i="3" s="1"/>
  <c r="D37" i="3"/>
  <c r="E37" i="3"/>
  <c r="E56" i="3" s="1"/>
  <c r="F37" i="3"/>
  <c r="F56" i="3" s="1"/>
  <c r="G37" i="3"/>
  <c r="G56" i="3" s="1"/>
  <c r="C45" i="3"/>
  <c r="E47" i="3"/>
  <c r="D48" i="3"/>
  <c r="C49" i="3"/>
  <c r="F50" i="3"/>
  <c r="E51" i="3"/>
  <c r="D52" i="3"/>
  <c r="C53" i="3"/>
  <c r="G53" i="3"/>
  <c r="D56" i="3"/>
  <c r="A1" i="2"/>
  <c r="C19" i="2"/>
  <c r="D19" i="2"/>
  <c r="E19" i="2"/>
  <c r="F19" i="2"/>
  <c r="G19" i="2"/>
  <c r="C26" i="2"/>
  <c r="C45" i="2" s="1"/>
  <c r="D26" i="2"/>
  <c r="D45" i="2" s="1"/>
  <c r="E26" i="2"/>
  <c r="E45" i="2" s="1"/>
  <c r="F26" i="2"/>
  <c r="G26" i="2"/>
  <c r="G45" i="2" s="1"/>
  <c r="C27" i="2"/>
  <c r="D27" i="2"/>
  <c r="D46" i="2" s="1"/>
  <c r="E27" i="2"/>
  <c r="F27" i="2"/>
  <c r="F46" i="2" s="1"/>
  <c r="G27" i="2"/>
  <c r="C28" i="2"/>
  <c r="C47" i="2" s="1"/>
  <c r="D28" i="2"/>
  <c r="E28" i="2"/>
  <c r="E47" i="2" s="1"/>
  <c r="F28" i="2"/>
  <c r="F47" i="2" s="1"/>
  <c r="G28" i="2"/>
  <c r="G47" i="2" s="1"/>
  <c r="C29" i="2"/>
  <c r="D29" i="2"/>
  <c r="D48" i="2" s="1"/>
  <c r="E29" i="2"/>
  <c r="E48" i="2" s="1"/>
  <c r="F29" i="2"/>
  <c r="F48" i="2" s="1"/>
  <c r="G29" i="2"/>
  <c r="C30" i="2"/>
  <c r="C49" i="2" s="1"/>
  <c r="D30" i="2"/>
  <c r="D49" i="2" s="1"/>
  <c r="E30" i="2"/>
  <c r="E49" i="2" s="1"/>
  <c r="F30" i="2"/>
  <c r="G30" i="2"/>
  <c r="G49" i="2" s="1"/>
  <c r="C31" i="2"/>
  <c r="C50" i="2" s="1"/>
  <c r="D31" i="2"/>
  <c r="D50" i="2" s="1"/>
  <c r="E31" i="2"/>
  <c r="F31" i="2"/>
  <c r="F50" i="2" s="1"/>
  <c r="G50" i="2"/>
  <c r="C32" i="2"/>
  <c r="C51" i="2" s="1"/>
  <c r="D32" i="2"/>
  <c r="E32" i="2"/>
  <c r="E51" i="2" s="1"/>
  <c r="F32" i="2"/>
  <c r="F51" i="2" s="1"/>
  <c r="G51" i="2"/>
  <c r="C33" i="2"/>
  <c r="D33" i="2"/>
  <c r="D52" i="2" s="1"/>
  <c r="E33" i="2"/>
  <c r="E52" i="2" s="1"/>
  <c r="F33" i="2"/>
  <c r="F52" i="2" s="1"/>
  <c r="C34" i="2"/>
  <c r="C53" i="2" s="1"/>
  <c r="D34" i="2"/>
  <c r="D53" i="2" s="1"/>
  <c r="E34" i="2"/>
  <c r="E53" i="2" s="1"/>
  <c r="F34" i="2"/>
  <c r="C35" i="2"/>
  <c r="C54" i="2" s="1"/>
  <c r="D35" i="2"/>
  <c r="D54" i="2" s="1"/>
  <c r="E35" i="2"/>
  <c r="F35" i="2"/>
  <c r="F54" i="2" s="1"/>
  <c r="G54" i="2"/>
  <c r="C36" i="2"/>
  <c r="C55" i="2" s="1"/>
  <c r="D36" i="2"/>
  <c r="E36" i="2"/>
  <c r="E55" i="2" s="1"/>
  <c r="F36" i="2"/>
  <c r="F55" i="2" s="1"/>
  <c r="G55" i="2"/>
  <c r="C37" i="2"/>
  <c r="D37" i="2"/>
  <c r="D56" i="2" s="1"/>
  <c r="E37" i="2"/>
  <c r="E56" i="2" s="1"/>
  <c r="F37" i="2"/>
  <c r="F56" i="2" s="1"/>
  <c r="F45" i="2"/>
  <c r="E46" i="2"/>
  <c r="D47" i="2"/>
  <c r="C48" i="2"/>
  <c r="G48" i="2"/>
  <c r="F49" i="2"/>
  <c r="E50" i="2"/>
  <c r="D51" i="2"/>
  <c r="C52" i="2"/>
  <c r="G52" i="2"/>
  <c r="F53" i="2"/>
  <c r="G53" i="2"/>
  <c r="E54" i="2"/>
  <c r="D55" i="2"/>
  <c r="C56" i="2"/>
  <c r="G56" i="2"/>
  <c r="A1" i="1"/>
  <c r="C7" i="1"/>
  <c r="C26" i="1" s="1"/>
  <c r="C45" i="1" s="1"/>
  <c r="B5" i="5" s="1"/>
  <c r="J7" i="1"/>
  <c r="J26" i="1" s="1"/>
  <c r="K7" i="1"/>
  <c r="K26" i="1" s="1"/>
  <c r="L7" i="1"/>
  <c r="L26" i="1" s="1"/>
  <c r="L45" i="1" s="1"/>
  <c r="C8" i="1"/>
  <c r="C27" i="1" s="1"/>
  <c r="C46" i="1" s="1"/>
  <c r="J8" i="1"/>
  <c r="K8" i="1"/>
  <c r="K27" i="1" s="1"/>
  <c r="K46" i="1" s="1"/>
  <c r="L8" i="1"/>
  <c r="L27" i="1" s="1"/>
  <c r="L46" i="1" s="1"/>
  <c r="C9" i="1"/>
  <c r="G9" i="1"/>
  <c r="G28" i="1" s="1"/>
  <c r="J9" i="1"/>
  <c r="J28" i="1" s="1"/>
  <c r="J47" i="1" s="1"/>
  <c r="K9" i="1"/>
  <c r="L9" i="1"/>
  <c r="L28" i="1" s="1"/>
  <c r="L47" i="1" s="1"/>
  <c r="C10" i="1"/>
  <c r="G10" i="1"/>
  <c r="G29" i="1" s="1"/>
  <c r="G48" i="1" s="1"/>
  <c r="J10" i="1"/>
  <c r="J29" i="1" s="1"/>
  <c r="J48" i="1" s="1"/>
  <c r="K10" i="1"/>
  <c r="K29" i="1" s="1"/>
  <c r="K48" i="1" s="1"/>
  <c r="L10" i="1"/>
  <c r="C11" i="1"/>
  <c r="C30" i="1" s="1"/>
  <c r="C49" i="1" s="1"/>
  <c r="G11" i="1"/>
  <c r="G30" i="1" s="1"/>
  <c r="G49" i="1" s="1"/>
  <c r="J11" i="1"/>
  <c r="J30" i="1" s="1"/>
  <c r="J49" i="1" s="1"/>
  <c r="K11" i="1"/>
  <c r="K30" i="1" s="1"/>
  <c r="K49" i="1" s="1"/>
  <c r="L11" i="1"/>
  <c r="L30" i="1" s="1"/>
  <c r="L49" i="1" s="1"/>
  <c r="C12" i="1"/>
  <c r="C31" i="1" s="1"/>
  <c r="C50" i="1" s="1"/>
  <c r="B10" i="5" s="1"/>
  <c r="G12" i="1"/>
  <c r="G31" i="1" s="1"/>
  <c r="G50" i="1" s="1"/>
  <c r="J12" i="1"/>
  <c r="K12" i="1"/>
  <c r="K31" i="1" s="1"/>
  <c r="K50" i="1" s="1"/>
  <c r="L12" i="1"/>
  <c r="L31" i="1" s="1"/>
  <c r="L50" i="1" s="1"/>
  <c r="C13" i="1"/>
  <c r="C32" i="1" s="1"/>
  <c r="C51" i="1" s="1"/>
  <c r="B11" i="5" s="1"/>
  <c r="G13" i="1"/>
  <c r="G32" i="1" s="1"/>
  <c r="J13" i="1"/>
  <c r="K13" i="1"/>
  <c r="K32" i="1" s="1"/>
  <c r="K51" i="1" s="1"/>
  <c r="L13" i="1"/>
  <c r="L32" i="1" s="1"/>
  <c r="L51" i="1" s="1"/>
  <c r="C14" i="1"/>
  <c r="G14" i="1"/>
  <c r="G33" i="1" s="1"/>
  <c r="G52" i="1" s="1"/>
  <c r="J14" i="1"/>
  <c r="J33" i="1" s="1"/>
  <c r="J52" i="1" s="1"/>
  <c r="K14" i="1"/>
  <c r="K33" i="1" s="1"/>
  <c r="K52" i="1" s="1"/>
  <c r="L14" i="1"/>
  <c r="C15" i="1"/>
  <c r="C34" i="1" s="1"/>
  <c r="C53" i="1" s="1"/>
  <c r="G15" i="1"/>
  <c r="G34" i="1" s="1"/>
  <c r="G53" i="1" s="1"/>
  <c r="J15" i="1"/>
  <c r="J34" i="1" s="1"/>
  <c r="J53" i="1" s="1"/>
  <c r="K15" i="1"/>
  <c r="K34" i="1" s="1"/>
  <c r="K53" i="1" s="1"/>
  <c r="L15" i="1"/>
  <c r="L34" i="1" s="1"/>
  <c r="L53" i="1" s="1"/>
  <c r="C16" i="1"/>
  <c r="C35" i="1" s="1"/>
  <c r="C54" i="1" s="1"/>
  <c r="B14" i="5" s="1"/>
  <c r="G16" i="1"/>
  <c r="J16" i="1"/>
  <c r="K16" i="1"/>
  <c r="K35" i="1" s="1"/>
  <c r="K54" i="1" s="1"/>
  <c r="L16" i="1"/>
  <c r="L35" i="1" s="1"/>
  <c r="L54" i="1" s="1"/>
  <c r="C17" i="1"/>
  <c r="C36" i="1" s="1"/>
  <c r="C55" i="1" s="1"/>
  <c r="B15" i="5" s="1"/>
  <c r="G17" i="1"/>
  <c r="G36" i="1" s="1"/>
  <c r="J17" i="1"/>
  <c r="J36" i="1" s="1"/>
  <c r="J55" i="1" s="1"/>
  <c r="K17" i="1"/>
  <c r="K36" i="1" s="1"/>
  <c r="K55" i="1" s="1"/>
  <c r="L17" i="1"/>
  <c r="L36" i="1" s="1"/>
  <c r="L55" i="1" s="1"/>
  <c r="C18" i="1"/>
  <c r="F18" i="1"/>
  <c r="F19" i="1" s="1"/>
  <c r="G18" i="1"/>
  <c r="G37" i="1" s="1"/>
  <c r="G56" i="1" s="1"/>
  <c r="J18" i="1"/>
  <c r="J37" i="1" s="1"/>
  <c r="J56" i="1" s="1"/>
  <c r="K18" i="1"/>
  <c r="D19" i="1"/>
  <c r="E19" i="1"/>
  <c r="I19" i="1"/>
  <c r="M19" i="1"/>
  <c r="N19" i="1"/>
  <c r="O19" i="1"/>
  <c r="P19" i="1"/>
  <c r="Q19" i="1"/>
  <c r="R19" i="1"/>
  <c r="D26" i="1"/>
  <c r="E26" i="1"/>
  <c r="E45" i="1" s="1"/>
  <c r="F26" i="1"/>
  <c r="F45" i="1" s="1"/>
  <c r="G26" i="1"/>
  <c r="G45" i="1" s="1"/>
  <c r="I26" i="1"/>
  <c r="I45" i="1" s="1"/>
  <c r="M26" i="1"/>
  <c r="N26" i="1"/>
  <c r="N45" i="1" s="1"/>
  <c r="O26" i="1"/>
  <c r="O45" i="1" s="1"/>
  <c r="P26" i="1"/>
  <c r="P45" i="1" s="1"/>
  <c r="Q26" i="1"/>
  <c r="Q45" i="1" s="1"/>
  <c r="R26" i="1"/>
  <c r="D27" i="1"/>
  <c r="D46" i="1" s="1"/>
  <c r="E27" i="1"/>
  <c r="F27" i="1"/>
  <c r="G27" i="1"/>
  <c r="G46" i="1" s="1"/>
  <c r="I27" i="1"/>
  <c r="I46" i="1" s="1"/>
  <c r="J27" i="1"/>
  <c r="J46" i="1" s="1"/>
  <c r="M27" i="1"/>
  <c r="M46" i="1" s="1"/>
  <c r="N27" i="1"/>
  <c r="N46" i="1" s="1"/>
  <c r="O27" i="1"/>
  <c r="O46" i="1" s="1"/>
  <c r="P27" i="1"/>
  <c r="Q27" i="1"/>
  <c r="Q46" i="1" s="1"/>
  <c r="R27" i="1"/>
  <c r="C28" i="1"/>
  <c r="D28" i="1"/>
  <c r="D47" i="1" s="1"/>
  <c r="E28" i="1"/>
  <c r="E47" i="1" s="1"/>
  <c r="F28" i="1"/>
  <c r="F47" i="1" s="1"/>
  <c r="E7" i="5" s="1"/>
  <c r="I28" i="1"/>
  <c r="I47" i="1" s="1"/>
  <c r="M28" i="1"/>
  <c r="M47" i="1" s="1"/>
  <c r="N28" i="1"/>
  <c r="N47" i="1" s="1"/>
  <c r="O28" i="1"/>
  <c r="O47" i="1" s="1"/>
  <c r="P28" i="1"/>
  <c r="P47" i="1" s="1"/>
  <c r="Q28" i="1"/>
  <c r="Q47" i="1" s="1"/>
  <c r="R28" i="1"/>
  <c r="R47" i="1" s="1"/>
  <c r="C29" i="1"/>
  <c r="C48" i="1" s="1"/>
  <c r="B8" i="5" s="1"/>
  <c r="D29" i="1"/>
  <c r="D48" i="1" s="1"/>
  <c r="E29" i="1"/>
  <c r="E48" i="1" s="1"/>
  <c r="D8" i="5" s="1"/>
  <c r="F29" i="1"/>
  <c r="F48" i="1" s="1"/>
  <c r="I29" i="1"/>
  <c r="I48" i="1" s="1"/>
  <c r="L29" i="1"/>
  <c r="M29" i="1"/>
  <c r="N29" i="1"/>
  <c r="N48" i="1" s="1"/>
  <c r="O29" i="1"/>
  <c r="O48" i="1" s="1"/>
  <c r="P29" i="1"/>
  <c r="Q29" i="1"/>
  <c r="Q48" i="1" s="1"/>
  <c r="R29" i="1"/>
  <c r="R48" i="1" s="1"/>
  <c r="D30" i="1"/>
  <c r="D49" i="1" s="1"/>
  <c r="C9" i="5" s="1"/>
  <c r="E30" i="1"/>
  <c r="E49" i="1" s="1"/>
  <c r="F30" i="1"/>
  <c r="I30" i="1"/>
  <c r="I49" i="1" s="1"/>
  <c r="M30" i="1"/>
  <c r="M49" i="1" s="1"/>
  <c r="N30" i="1"/>
  <c r="O30" i="1"/>
  <c r="O49" i="1" s="1"/>
  <c r="P30" i="1"/>
  <c r="P49" i="1" s="1"/>
  <c r="Q30" i="1"/>
  <c r="Q49" i="1" s="1"/>
  <c r="R30" i="1"/>
  <c r="R49" i="1" s="1"/>
  <c r="D31" i="1"/>
  <c r="D50" i="1" s="1"/>
  <c r="E31" i="1"/>
  <c r="F31" i="1"/>
  <c r="F50" i="1" s="1"/>
  <c r="I31" i="1"/>
  <c r="I50" i="1" s="1"/>
  <c r="J31" i="1"/>
  <c r="J50" i="1" s="1"/>
  <c r="M31" i="1"/>
  <c r="M50" i="1" s="1"/>
  <c r="N31" i="1"/>
  <c r="O31" i="1"/>
  <c r="P31" i="1"/>
  <c r="P50" i="1" s="1"/>
  <c r="Q31" i="1"/>
  <c r="Q50" i="1" s="1"/>
  <c r="R31" i="1"/>
  <c r="R50" i="1" s="1"/>
  <c r="D32" i="1"/>
  <c r="D51" i="1" s="1"/>
  <c r="E32" i="1"/>
  <c r="E51" i="1" s="1"/>
  <c r="F32" i="1"/>
  <c r="F51" i="1" s="1"/>
  <c r="E11" i="5" s="1"/>
  <c r="I32" i="1"/>
  <c r="J32" i="1"/>
  <c r="J51" i="1" s="1"/>
  <c r="M32" i="1"/>
  <c r="M51" i="1" s="1"/>
  <c r="N32" i="1"/>
  <c r="N51" i="1" s="1"/>
  <c r="O32" i="1"/>
  <c r="O51" i="1" s="1"/>
  <c r="P32" i="1"/>
  <c r="Q32" i="1"/>
  <c r="R32" i="1"/>
  <c r="R51" i="1" s="1"/>
  <c r="C33" i="1"/>
  <c r="C52" i="1" s="1"/>
  <c r="D33" i="1"/>
  <c r="D52" i="1" s="1"/>
  <c r="E33" i="1"/>
  <c r="F33" i="1"/>
  <c r="F52" i="1" s="1"/>
  <c r="I33" i="1"/>
  <c r="L33" i="1"/>
  <c r="L52" i="1" s="1"/>
  <c r="M33" i="1"/>
  <c r="M52" i="1" s="1"/>
  <c r="N33" i="1"/>
  <c r="N52" i="1" s="1"/>
  <c r="O33" i="1"/>
  <c r="O52" i="1" s="1"/>
  <c r="P33" i="1"/>
  <c r="P52" i="1" s="1"/>
  <c r="Q33" i="1"/>
  <c r="Q52" i="1" s="1"/>
  <c r="R33" i="1"/>
  <c r="R52" i="1" s="1"/>
  <c r="D34" i="1"/>
  <c r="E34" i="1"/>
  <c r="E53" i="1" s="1"/>
  <c r="F34" i="1"/>
  <c r="F53" i="1" s="1"/>
  <c r="I34" i="1"/>
  <c r="I53" i="1" s="1"/>
  <c r="M34" i="1"/>
  <c r="M53" i="1" s="1"/>
  <c r="N34" i="1"/>
  <c r="N53" i="1" s="1"/>
  <c r="O34" i="1"/>
  <c r="O53" i="1" s="1"/>
  <c r="P34" i="1"/>
  <c r="P53" i="1" s="1"/>
  <c r="Q34" i="1"/>
  <c r="Q53" i="1" s="1"/>
  <c r="R34" i="1"/>
  <c r="R53" i="1" s="1"/>
  <c r="D35" i="1"/>
  <c r="D54" i="1" s="1"/>
  <c r="E35" i="1"/>
  <c r="F35" i="1"/>
  <c r="G35" i="1"/>
  <c r="G54" i="1" s="1"/>
  <c r="I35" i="1"/>
  <c r="I54" i="1" s="1"/>
  <c r="J35" i="1"/>
  <c r="M35" i="1"/>
  <c r="M54" i="1" s="1"/>
  <c r="N35" i="1"/>
  <c r="N54" i="1" s="1"/>
  <c r="O35" i="1"/>
  <c r="O54" i="1" s="1"/>
  <c r="P35" i="1"/>
  <c r="Q35" i="1"/>
  <c r="Q54" i="1" s="1"/>
  <c r="R35" i="1"/>
  <c r="R54" i="1" s="1"/>
  <c r="D36" i="1"/>
  <c r="D55" i="1" s="1"/>
  <c r="E36" i="1"/>
  <c r="E55" i="1" s="1"/>
  <c r="F36" i="1"/>
  <c r="F55" i="1" s="1"/>
  <c r="I36" i="1"/>
  <c r="I55" i="1" s="1"/>
  <c r="M36" i="1"/>
  <c r="M55" i="1" s="1"/>
  <c r="N36" i="1"/>
  <c r="N55" i="1" s="1"/>
  <c r="O36" i="1"/>
  <c r="O55" i="1" s="1"/>
  <c r="P36" i="1"/>
  <c r="Q36" i="1"/>
  <c r="Q55" i="1" s="1"/>
  <c r="R36" i="1"/>
  <c r="R55" i="1" s="1"/>
  <c r="C37" i="1"/>
  <c r="C56" i="1" s="1"/>
  <c r="D37" i="1"/>
  <c r="D56" i="1" s="1"/>
  <c r="E37" i="1"/>
  <c r="I37" i="1"/>
  <c r="I56" i="1" s="1"/>
  <c r="K37" i="1"/>
  <c r="K56" i="1" s="1"/>
  <c r="L37" i="1"/>
  <c r="M37" i="1"/>
  <c r="M56" i="1" s="1"/>
  <c r="N37" i="1"/>
  <c r="N56" i="1" s="1"/>
  <c r="O37" i="1"/>
  <c r="O56" i="1" s="1"/>
  <c r="P37" i="1"/>
  <c r="P56" i="1" s="1"/>
  <c r="Q37" i="1"/>
  <c r="Q56" i="1" s="1"/>
  <c r="R37" i="1"/>
  <c r="R56" i="1" s="1"/>
  <c r="J45" i="1"/>
  <c r="M45" i="1"/>
  <c r="R45" i="1"/>
  <c r="P46" i="1"/>
  <c r="R46" i="1"/>
  <c r="C47" i="1"/>
  <c r="B7" i="5" s="1"/>
  <c r="G47" i="1"/>
  <c r="L48" i="1"/>
  <c r="M48" i="1"/>
  <c r="F49" i="1"/>
  <c r="N49" i="1"/>
  <c r="E50" i="1"/>
  <c r="N50" i="1"/>
  <c r="O50" i="1"/>
  <c r="G51" i="1"/>
  <c r="I51" i="1"/>
  <c r="P51" i="1"/>
  <c r="Q51" i="1"/>
  <c r="E52" i="1"/>
  <c r="D12" i="5" s="1"/>
  <c r="I52" i="1"/>
  <c r="D53" i="1"/>
  <c r="E54" i="1"/>
  <c r="F54" i="1"/>
  <c r="J54" i="1"/>
  <c r="P54" i="1"/>
  <c r="G55" i="1"/>
  <c r="P55" i="1"/>
  <c r="E56" i="1"/>
  <c r="D16" i="5" s="1"/>
  <c r="C16" i="5" l="1"/>
  <c r="D13" i="5"/>
  <c r="E12" i="5"/>
  <c r="E13" i="5"/>
  <c r="E15" i="5"/>
  <c r="C10" i="5"/>
  <c r="C11" i="5"/>
  <c r="D9" i="5"/>
  <c r="C6" i="5"/>
  <c r="F7" i="5"/>
  <c r="F11" i="5"/>
  <c r="C13" i="5"/>
  <c r="D14" i="5"/>
  <c r="D10" i="5"/>
  <c r="C15" i="5"/>
  <c r="C12" i="5"/>
  <c r="E10" i="5"/>
  <c r="B16" i="5"/>
  <c r="C14" i="5"/>
  <c r="B12" i="5"/>
  <c r="D11" i="5"/>
  <c r="C8" i="5"/>
  <c r="C7" i="5"/>
  <c r="D5" i="5"/>
  <c r="F10" i="5"/>
  <c r="E14" i="5"/>
  <c r="D15" i="5"/>
  <c r="E8" i="5"/>
  <c r="F5" i="5"/>
  <c r="F9" i="5"/>
  <c r="E9" i="5"/>
  <c r="D7" i="5"/>
  <c r="E5" i="5"/>
  <c r="B13" i="5"/>
  <c r="B9" i="5"/>
  <c r="F8" i="5"/>
  <c r="F12" i="5"/>
  <c r="F15" i="5"/>
  <c r="F13" i="5"/>
  <c r="F14" i="5"/>
  <c r="F16" i="5"/>
  <c r="C57" i="4"/>
  <c r="D38" i="1"/>
  <c r="L19" i="1"/>
  <c r="K19" i="1"/>
  <c r="J57" i="1"/>
  <c r="N57" i="1"/>
  <c r="D45" i="1"/>
  <c r="C5" i="5" s="1"/>
  <c r="L38" i="1"/>
  <c r="P38" i="1"/>
  <c r="Q38" i="1"/>
  <c r="C19" i="1"/>
  <c r="D38" i="3"/>
  <c r="K28" i="1"/>
  <c r="K47" i="1" s="1"/>
  <c r="I57" i="1"/>
  <c r="F46" i="1"/>
  <c r="E6" i="5" s="1"/>
  <c r="F37" i="1"/>
  <c r="F56" i="1" s="1"/>
  <c r="E16" i="5" s="1"/>
  <c r="I38" i="1"/>
  <c r="M38" i="1"/>
  <c r="G57" i="4"/>
  <c r="F38" i="3"/>
  <c r="R57" i="1"/>
  <c r="O57" i="1"/>
  <c r="M57" i="1"/>
  <c r="Q57" i="1"/>
  <c r="C57" i="1"/>
  <c r="E57" i="4"/>
  <c r="E38" i="1"/>
  <c r="F57" i="2"/>
  <c r="G46" i="2"/>
  <c r="G57" i="2" s="1"/>
  <c r="G38" i="2"/>
  <c r="C46" i="2"/>
  <c r="C57" i="2" s="1"/>
  <c r="C38" i="2"/>
  <c r="D57" i="2"/>
  <c r="F57" i="3"/>
  <c r="G57" i="1"/>
  <c r="E57" i="2"/>
  <c r="C38" i="1"/>
  <c r="L56" i="1"/>
  <c r="L57" i="1" s="1"/>
  <c r="P48" i="1"/>
  <c r="P57" i="1" s="1"/>
  <c r="E46" i="1"/>
  <c r="O38" i="1"/>
  <c r="G19" i="1"/>
  <c r="K45" i="1"/>
  <c r="D38" i="2"/>
  <c r="E38" i="2"/>
  <c r="F38" i="2"/>
  <c r="E57" i="3"/>
  <c r="D57" i="4"/>
  <c r="G38" i="1"/>
  <c r="R38" i="1"/>
  <c r="N38" i="1"/>
  <c r="J38" i="1"/>
  <c r="G46" i="3"/>
  <c r="G57" i="3" s="1"/>
  <c r="G38" i="3"/>
  <c r="C46" i="3"/>
  <c r="C57" i="3" s="1"/>
  <c r="C38" i="3"/>
  <c r="D57" i="3"/>
  <c r="F57" i="4"/>
  <c r="J19" i="1"/>
  <c r="F6" i="5" l="1"/>
  <c r="C17" i="5"/>
  <c r="E57" i="1"/>
  <c r="D6" i="5"/>
  <c r="D17" i="5" s="1"/>
  <c r="D57" i="1"/>
  <c r="B6" i="5"/>
  <c r="B17" i="5" s="1"/>
  <c r="F17" i="5"/>
  <c r="E17" i="5"/>
  <c r="G76" i="2"/>
  <c r="G95" i="2"/>
  <c r="K38" i="1"/>
  <c r="K57" i="1"/>
  <c r="F57" i="1"/>
  <c r="F38" i="1"/>
</calcChain>
</file>

<file path=xl/comments1.xml><?xml version="1.0" encoding="utf-8"?>
<comments xmlns="http://schemas.openxmlformats.org/spreadsheetml/2006/main">
  <authors>
    <author>Author</author>
  </authors>
  <commentList>
    <comment ref="G26" authorId="0" shapeId="0">
      <text>
        <r>
          <rPr>
            <b/>
            <sz val="9"/>
            <color indexed="81"/>
            <rFont val="Tahoma"/>
            <family val="2"/>
          </rPr>
          <t>Pindah Store LOT 50 to KIP</t>
        </r>
      </text>
    </comment>
  </commentList>
</comments>
</file>

<file path=xl/sharedStrings.xml><?xml version="1.0" encoding="utf-8"?>
<sst xmlns="http://schemas.openxmlformats.org/spreadsheetml/2006/main" count="372" uniqueCount="38">
  <si>
    <t>Total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</si>
  <si>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</si>
  <si>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</si>
  <si>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</si>
  <si>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</si>
  <si>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</si>
  <si>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</si>
  <si>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</si>
  <si>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</si>
  <si>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</si>
  <si>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</si>
  <si>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</si>
  <si>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>Jan</t>
  </si>
  <si>
    <r>
      <t>MT CO</t>
    </r>
    <r>
      <rPr>
        <b/>
        <vertAlign val="subscript"/>
        <sz val="11"/>
        <color theme="1"/>
        <rFont val="Calibri"/>
        <family val="2"/>
        <scheme val="minor"/>
      </rPr>
      <t>2</t>
    </r>
  </si>
  <si>
    <r>
      <t>MT CO</t>
    </r>
    <r>
      <rPr>
        <b/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/>
    </r>
  </si>
  <si>
    <t>Month</t>
  </si>
  <si>
    <t>KIP</t>
  </si>
  <si>
    <t>Tago</t>
  </si>
  <si>
    <t>Combine</t>
  </si>
  <si>
    <t>Emmision</t>
  </si>
  <si>
    <t>KG</t>
  </si>
  <si>
    <t>Weight</t>
  </si>
  <si>
    <t>QTY</t>
  </si>
  <si>
    <t>Quantity</t>
  </si>
  <si>
    <r>
      <t>MT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/>
    </r>
  </si>
  <si>
    <t>L</t>
  </si>
  <si>
    <t>Litre</t>
  </si>
  <si>
    <t>2022*</t>
  </si>
  <si>
    <t>pcs</t>
  </si>
  <si>
    <t>CRT Output Sheet 1</t>
  </si>
  <si>
    <t>CRT Output Sheet 2</t>
  </si>
  <si>
    <t>Scope 1</t>
  </si>
  <si>
    <t>ROUND(IF(C73="","",INDEX('\\192.168.10.203\Esh\08 GHG PROJECT\GHG INVENTORY\CARBON FOOTPRINT DATA\SCOPE 1\[GHG DATA_SCOPE 1.xlsx]LPG 14kg'!C38:G38,MATCH(C73,'\\192.168.10.203\Esh\08 GHG PROJECT\GHG INVENTORY\CARBON FOOTPRINT DATA\SCOPE 1\[GHG DATA_SCOPE 1.xlsx]LPG 14kg'!C24:G24,0))+INDEX('\\192.168.10.203\Esh\08 GHG PROJECT\GHG INVENTORY\CARBON FOOTPRINT DATA\SCOPE 1\[GHG DATA_SCOPE 1.xlsx]LPG 50kg'!C38:G38,MATCH(C73,'\\192.168.10.203\Esh\08 GHG PROJECT\GHG INVENTORY\CARBON FOOTPRINT DATA\SCOPE 1\[GHG DATA_SCOPE 1.xlsx]LPG 50kg'!C24:G24,0))),3)</t>
  </si>
  <si>
    <t>GHG Emission</t>
  </si>
  <si>
    <t>Parameter</t>
  </si>
  <si>
    <t>SCOPE 1 EMISSION</t>
  </si>
  <si>
    <t>Diesel (kg)</t>
  </si>
  <si>
    <t>Petrol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</si>
</sst>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2">
    <xf numFmtId="0" fontId="0" fillId="0" borderId="0" xfId="0"/>
    <xf numFmtId="164" fontId="3" fillId="0" borderId="0" xfId="1" applyNumberFormat="1" applyFont="1"/>
    <xf numFmtId="164" fontId="0" fillId="0" borderId="0" xfId="0" applyNumberFormat="1"/>
    <xf numFmtId="0" fontId="3" fillId="0" borderId="0" xfId="0" applyFont="1" applyFill="1" applyBorder="1" applyAlignment="1">
      <alignment horizontal="center" vertical="top"/>
    </xf>
    <xf numFmtId="2" fontId="0" fillId="2" borderId="1" xfId="0" applyNumberFormat="1" applyFill="1" applyBorder="1" applyAlignment="1">
      <alignment horizontal="center" vertical="top"/>
    </xf>
    <xf numFmtId="2" fontId="0" fillId="3" borderId="1" xfId="0" applyNumberFormat="1" applyFill="1" applyBorder="1" applyAlignment="1">
      <alignment horizontal="center" vertical="top"/>
    </xf>
    <xf numFmtId="2" fontId="0" fillId="4" borderId="1" xfId="0" applyNumberFormat="1" applyFill="1" applyBorder="1" applyAlignment="1">
      <alignment horizontal="center" vertical="top"/>
    </xf>
    <xf numFmtId="2" fontId="0" fillId="5" borderId="1" xfId="0" applyNumberFormat="1" applyFill="1" applyBorder="1" applyAlignment="1">
      <alignment horizontal="center" vertical="top"/>
    </xf>
    <xf numFmtId="2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 vertical="top"/>
    </xf>
    <xf numFmtId="2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2" fillId="6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center" vertical="center"/>
    </xf>
    <xf numFmtId="0" fontId="0" fillId="0" borderId="0" xfId="0" applyAlignment="1"/>
    <xf numFmtId="0" fontId="5" fillId="0" borderId="0" xfId="0" applyFont="1"/>
    <xf numFmtId="165" fontId="3" fillId="0" borderId="0" xfId="1" applyNumberFormat="1" applyFont="1"/>
    <xf numFmtId="0" fontId="0" fillId="3" borderId="1" xfId="0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7" borderId="1" xfId="0" applyFill="1" applyBorder="1" applyAlignment="1">
      <alignment horizontal="center" vertical="top"/>
    </xf>
    <xf numFmtId="0" fontId="0" fillId="7" borderId="1" xfId="0" quotePrefix="1" applyFill="1" applyBorder="1" applyAlignment="1">
      <alignment horizontal="center"/>
    </xf>
    <xf numFmtId="0" fontId="6" fillId="0" borderId="0" xfId="0" quotePrefix="1" applyFont="1"/>
    <xf numFmtId="0" fontId="7" fillId="8" borderId="0" xfId="0" applyFont="1" applyFill="1" applyAlignment="1">
      <alignment horizontal="center"/>
    </xf>
    <xf numFmtId="0" fontId="7" fillId="0" borderId="0" xfId="0" applyFont="1"/>
    <xf numFmtId="164" fontId="0" fillId="0" borderId="1" xfId="0" applyNumberFormat="1" applyBorder="1" applyAlignment="1">
      <alignment horizontal="center" vertical="top"/>
    </xf>
    <xf numFmtId="0" fontId="2" fillId="6" borderId="1" xfId="0" applyFon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top"/>
    </xf>
    <xf numFmtId="43" fontId="3" fillId="0" borderId="0" xfId="1" applyNumberFormat="1" applyFont="1"/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/>
    </xf>
    <xf numFmtId="0" fontId="2" fillId="6" borderId="2" xfId="0" applyFont="1" applyFill="1" applyBorder="1" applyAlignment="1">
      <alignment horizontal="center"/>
    </xf>
    <xf numFmtId="2" fontId="9" fillId="3" borderId="1" xfId="0" applyNumberFormat="1" applyFont="1" applyFill="1" applyBorder="1" applyAlignment="1">
      <alignment horizontal="center" vertical="top"/>
    </xf>
    <xf numFmtId="2" fontId="0" fillId="2" borderId="1" xfId="1" applyNumberFormat="1" applyFont="1" applyFill="1" applyBorder="1" applyAlignment="1">
      <alignment horizontal="center" vertical="top"/>
    </xf>
    <xf numFmtId="2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LPG</a:t>
            </a:r>
            <a:r>
              <a:rPr lang="en-GB" baseline="0"/>
              <a:t> 50kg vs Number of Sheet 2025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'LPG 50kg'!$A$2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'LPG 50kg'!$F$26:$F$37</c:f>
              <c:numCache>
                <c:formatCode>General</c:formatCode>
                <c:ptCount val="12"/>
                <c:pt idx="0">
                  <c:v>2100</c:v>
                </c:pt>
                <c:pt idx="1">
                  <c:v>1200</c:v>
                </c:pt>
                <c:pt idx="2">
                  <c:v>600</c:v>
                </c:pt>
                <c:pt idx="3">
                  <c:v>900</c:v>
                </c:pt>
                <c:pt idx="4">
                  <c:v>1200</c:v>
                </c:pt>
                <c:pt idx="5">
                  <c:v>900</c:v>
                </c:pt>
                <c:pt idx="6">
                  <c:v>900</c:v>
                </c:pt>
                <c:pt idx="7">
                  <c:v>600</c:v>
                </c:pt>
                <c:pt idx="8">
                  <c:v>900</c:v>
                </c:pt>
                <c:pt idx="9">
                  <c:v>900</c:v>
                </c:pt>
                <c:pt idx="10">
                  <c:v>600</c:v>
                </c:pt>
                <c:pt idx="11">
                  <c:v>600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21989048"/>
        <c:axId val="136910536"/>
      </c:barChart>
      <c:lineChart>
        <c:grouping val="standard"/>
        <c:varyColors val="0"/>
        <c:ser>
          <c:idx val="1"/>
          <c:order val="1"/>
          <c:tx>
            <c:strRef>
              <c:f>'LPG 50kg'!$A$59</c:f>
              <c:strCache>
                <c:ptCount val="1"/>
                <c:pt idx="0">
                  <c:v>CRT Output Sheet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'LPG 50kg'!$F$64:$F$75</c:f>
              <c:numCache>
                <c:formatCode>0</c:formatCode>
                <c:ptCount val="12"/>
                <c:pt idx="0">
                  <c:v>528240</c:v>
                </c:pt>
                <c:pt idx="1">
                  <c:v>398480</c:v>
                </c:pt>
                <c:pt idx="2">
                  <c:v>226000</c:v>
                </c:pt>
                <c:pt idx="3">
                  <c:v>305705</c:v>
                </c:pt>
                <c:pt idx="4">
                  <c:v>473610</c:v>
                </c:pt>
                <c:pt idx="5">
                  <c:v>365710</c:v>
                </c:pt>
                <c:pt idx="6">
                  <c:v>371959</c:v>
                </c:pt>
                <c:pt idx="7">
                  <c:v>354157</c:v>
                </c:pt>
                <c:pt idx="8">
                  <c:v>374420</c:v>
                </c:pt>
                <c:pt idx="9">
                  <c:v>438912</c:v>
                </c:pt>
                <c:pt idx="10">
                  <c:v>252730</c:v>
                </c:pt>
                <c:pt idx="11">
                  <c:v>231394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4232256"/>
        <c:axId val="323401896"/>
      </c:lineChart>
      <c:catAx>
        <c:axId val="321989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10536"/>
        <c:crosses val="autoZero"/>
        <c:auto val="1"/>
        <c:lblAlgn val="ctr"/>
        <c:lblOffset val="100"/>
        <c:noMultiLvlLbl val="0"/>
      </c:catAx>
      <c:valAx>
        <c:axId val="136910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LPG</a:t>
                </a:r>
                <a:r>
                  <a:rPr lang="en-GB" baseline="0"/>
                  <a:t> 50 KG (kg)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989048"/>
        <c:crosses val="autoZero"/>
        <c:crossBetween val="between"/>
      </c:valAx>
      <c:valAx>
        <c:axId val="32340189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Amount of Sheet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232256"/>
        <c:crosses val="max"/>
        <c:crossBetween val="between"/>
      </c:valAx>
      <c:catAx>
        <c:axId val="324232256"/>
        <c:scaling>
          <c:orientation val="minMax"/>
        </c:scaling>
        <c:delete val="1"/>
        <c:axPos val="b"/>
        <c:majorTickMark val="out"/>
        <c:minorTickMark val="none"/>
        <c:tickLblPos val="nextTo"/>
        <c:crossAx val="3234018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LPG</a:t>
            </a:r>
            <a:r>
              <a:rPr lang="en-GB" baseline="0"/>
              <a:t> 50kg vs CRT Output in KG 2025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'LPG 50kg'!$A$2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'LPG 50kg'!$F$26:$F$37</c:f>
              <c:numCache>
                <c:formatCode>General</c:formatCode>
                <c:ptCount val="12"/>
                <c:pt idx="0">
                  <c:v>2100</c:v>
                </c:pt>
                <c:pt idx="1">
                  <c:v>1200</c:v>
                </c:pt>
                <c:pt idx="2">
                  <c:v>600</c:v>
                </c:pt>
                <c:pt idx="3">
                  <c:v>900</c:v>
                </c:pt>
                <c:pt idx="4">
                  <c:v>1200</c:v>
                </c:pt>
                <c:pt idx="5">
                  <c:v>900</c:v>
                </c:pt>
                <c:pt idx="6">
                  <c:v>900</c:v>
                </c:pt>
                <c:pt idx="7">
                  <c:v>600</c:v>
                </c:pt>
                <c:pt idx="8">
                  <c:v>900</c:v>
                </c:pt>
                <c:pt idx="9">
                  <c:v>900</c:v>
                </c:pt>
                <c:pt idx="10">
                  <c:v>600</c:v>
                </c:pt>
                <c:pt idx="11">
                  <c:v>600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24235392"/>
        <c:axId val="324231864"/>
      </c:barChart>
      <c:lineChart>
        <c:grouping val="standard"/>
        <c:varyColors val="0"/>
        <c:ser>
          <c:idx val="1"/>
          <c:order val="1"/>
          <c:tx>
            <c:strRef>
              <c:f>'LPG 50kg'!$A$78</c:f>
              <c:strCache>
                <c:ptCount val="1"/>
                <c:pt idx="0">
                  <c:v>CRT Output Sheet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'LPG 50kg'!$F$83:$F$94</c:f>
              <c:numCache>
                <c:formatCode>0.00</c:formatCode>
                <c:ptCount val="12"/>
                <c:pt idx="0">
                  <c:v>27202.55</c:v>
                </c:pt>
                <c:pt idx="1">
                  <c:v>23755.54</c:v>
                </c:pt>
                <c:pt idx="2">
                  <c:v>14629.8</c:v>
                </c:pt>
                <c:pt idx="3">
                  <c:v>18444.41</c:v>
                </c:pt>
                <c:pt idx="4">
                  <c:v>18118.07</c:v>
                </c:pt>
                <c:pt idx="5">
                  <c:v>13026.59</c:v>
                </c:pt>
                <c:pt idx="6">
                  <c:v>15730.73</c:v>
                </c:pt>
                <c:pt idx="7">
                  <c:v>9520.36</c:v>
                </c:pt>
                <c:pt idx="8">
                  <c:v>13162.29</c:v>
                </c:pt>
                <c:pt idx="9">
                  <c:v>13683.54</c:v>
                </c:pt>
                <c:pt idx="10">
                  <c:v>10443.25</c:v>
                </c:pt>
                <c:pt idx="11">
                  <c:v>16151.56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4236568"/>
        <c:axId val="324235784"/>
      </c:lineChart>
      <c:catAx>
        <c:axId val="3242353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231864"/>
        <c:crosses val="autoZero"/>
        <c:auto val="1"/>
        <c:lblAlgn val="ctr"/>
        <c:lblOffset val="100"/>
        <c:noMultiLvlLbl val="0"/>
      </c:catAx>
      <c:valAx>
        <c:axId val="324231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900" b="0" i="0" baseline="0">
                    <a:effectLst/>
                  </a:rPr>
                  <a:t>LPG 50 KG (kg)</a:t>
                </a:r>
                <a:endParaRPr lang="en-GB" sz="9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235392"/>
        <c:crosses val="autoZero"/>
        <c:crossBetween val="between"/>
      </c:valAx>
      <c:valAx>
        <c:axId val="324235784"/>
        <c:scaling>
          <c:orientation val="minMax"/>
          <c:max val="350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Output (kg)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236568"/>
        <c:crosses val="max"/>
        <c:crossBetween val="between"/>
      </c:valAx>
      <c:catAx>
        <c:axId val="324236568"/>
        <c:scaling>
          <c:orientation val="minMax"/>
        </c:scaling>
        <c:delete val="1"/>
        <c:axPos val="b"/>
        <c:majorTickMark val="out"/>
        <c:minorTickMark val="none"/>
        <c:tickLblPos val="nextTo"/>
        <c:crossAx val="3242357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baseline="0">
                <a:effectLst/>
              </a:rPr>
              <a:t>LPG 50kg vs Number of Sheet 2026</a:t>
            </a:r>
            <a:endParaRPr lang="en-GB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'LPG 50kg'!$A$2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'LPG 50kg'!$G$26:$G$37</c:f>
              <c:numCache>
                <c:formatCode>General</c:formatCode>
                <c:ptCount val="12"/>
                <c:pt idx="0">
                  <c:v>1200</c:v>
                </c:pt>
                <c:pt idx="1">
                  <c:v>1500</c:v>
                </c:pt>
                <c:pt idx="2">
                  <c:v>1500</c:v>
                </c:pt>
                <c:pt idx="3">
                  <c:v>1500</c:v>
                </c:pt>
                <c:pt idx="4">
                  <c:v>1500</c:v>
                </c:pt>
                <c:pt idx="5">
                  <c:v>2400</c:v>
                </c:pt>
                <c:pt idx="6">
                  <c:v>1800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24236960"/>
        <c:axId val="324233040"/>
      </c:barChart>
      <c:lineChart>
        <c:grouping val="standard"/>
        <c:varyColors val="0"/>
        <c:ser>
          <c:idx val="1"/>
          <c:order val="1"/>
          <c:tx>
            <c:strRef>
              <c:f>'LPG 50kg'!$A$59</c:f>
              <c:strCache>
                <c:ptCount val="1"/>
                <c:pt idx="0">
                  <c:v>CRT Output Sheet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'LPG 50kg'!$G$64:$G$75</c:f>
              <c:numCache>
                <c:formatCode>General</c:formatCode>
                <c:ptCount val="12"/>
                <c:pt idx="0">
                  <c:v>443791</c:v>
                </c:pt>
                <c:pt idx="1">
                  <c:v>268406</c:v>
                </c:pt>
                <c:pt idx="2">
                  <c:v>503782</c:v>
                </c:pt>
                <c:pt idx="3">
                  <c:v>473245</c:v>
                </c:pt>
                <c:pt idx="4">
                  <c:v>310363</c:v>
                </c:pt>
                <c:pt idx="5">
                  <c:v>185932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4237352"/>
        <c:axId val="324233824"/>
      </c:lineChart>
      <c:catAx>
        <c:axId val="3242369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233040"/>
        <c:crosses val="autoZero"/>
        <c:auto val="1"/>
        <c:lblAlgn val="ctr"/>
        <c:lblOffset val="100"/>
        <c:noMultiLvlLbl val="0"/>
      </c:catAx>
      <c:valAx>
        <c:axId val="324233040"/>
        <c:scaling>
          <c:orientation val="minMax"/>
          <c:max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900" b="0" i="0" baseline="0">
                    <a:effectLst/>
                  </a:rPr>
                  <a:t>LPG 50 KG (kg)</a:t>
                </a:r>
                <a:endParaRPr lang="en-GB" sz="9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236960"/>
        <c:crosses val="autoZero"/>
        <c:crossBetween val="between"/>
      </c:valAx>
      <c:valAx>
        <c:axId val="32423382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900" b="0" i="0" baseline="0">
                    <a:effectLst/>
                  </a:rPr>
                  <a:t>Amount of Sheet</a:t>
                </a:r>
                <a:endParaRPr lang="en-GB" sz="9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237352"/>
        <c:crosses val="max"/>
        <c:crossBetween val="between"/>
      </c:valAx>
      <c:catAx>
        <c:axId val="324237352"/>
        <c:scaling>
          <c:orientation val="minMax"/>
        </c:scaling>
        <c:delete val="1"/>
        <c:axPos val="b"/>
        <c:majorTickMark val="out"/>
        <c:minorTickMark val="none"/>
        <c:tickLblPos val="nextTo"/>
        <c:crossAx val="3242338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baseline="0">
                <a:effectLst/>
              </a:rPr>
              <a:t>LPG 50kg vs CRT Output in KG 2026</a:t>
            </a:r>
            <a:endParaRPr lang="en-GB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'LPG 50kg'!$A$2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'LPG 50kg'!$G$26:$G$37</c:f>
              <c:numCache>
                <c:formatCode>General</c:formatCode>
                <c:ptCount val="12"/>
                <c:pt idx="0">
                  <c:v>1200</c:v>
                </c:pt>
                <c:pt idx="1">
                  <c:v>1500</c:v>
                </c:pt>
                <c:pt idx="2">
                  <c:v>1500</c:v>
                </c:pt>
                <c:pt idx="3">
                  <c:v>1500</c:v>
                </c:pt>
                <c:pt idx="4">
                  <c:v>1500</c:v>
                </c:pt>
                <c:pt idx="5">
                  <c:v>2400</c:v>
                </c:pt>
                <c:pt idx="6">
                  <c:v>1800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87676512"/>
        <c:axId val="387671808"/>
      </c:barChart>
      <c:lineChart>
        <c:grouping val="standard"/>
        <c:varyColors val="0"/>
        <c:ser>
          <c:idx val="1"/>
          <c:order val="1"/>
          <c:tx>
            <c:strRef>
              <c:f>'LPG 50kg'!$A$78</c:f>
              <c:strCache>
                <c:ptCount val="1"/>
                <c:pt idx="0">
                  <c:v>CRT Output Sheet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'LPG 50kg'!$G$83:$G$94</c:f>
              <c:numCache>
                <c:formatCode>General</c:formatCode>
                <c:ptCount val="12"/>
                <c:pt idx="0">
                  <c:v>17736.900000000001</c:v>
                </c:pt>
                <c:pt idx="1">
                  <c:v>11557.9</c:v>
                </c:pt>
                <c:pt idx="2">
                  <c:v>31847.5</c:v>
                </c:pt>
                <c:pt idx="3">
                  <c:v>26053.27</c:v>
                </c:pt>
                <c:pt idx="4">
                  <c:v>20766.89</c:v>
                </c:pt>
                <c:pt idx="5">
                  <c:v>10838.6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7670240"/>
        <c:axId val="387672200"/>
      </c:lineChart>
      <c:catAx>
        <c:axId val="3876765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671808"/>
        <c:crosses val="autoZero"/>
        <c:auto val="1"/>
        <c:lblAlgn val="ctr"/>
        <c:lblOffset val="100"/>
        <c:noMultiLvlLbl val="0"/>
      </c:catAx>
      <c:valAx>
        <c:axId val="387671808"/>
        <c:scaling>
          <c:orientation val="minMax"/>
          <c:max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900" b="0" i="0" baseline="0">
                    <a:effectLst/>
                  </a:rPr>
                  <a:t>LPG 50 KG (kg)</a:t>
                </a:r>
                <a:endParaRPr lang="en-GB" sz="9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676512"/>
        <c:crosses val="autoZero"/>
        <c:crossBetween val="between"/>
      </c:valAx>
      <c:valAx>
        <c:axId val="387672200"/>
        <c:scaling>
          <c:orientation val="minMax"/>
          <c:max val="350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900" b="0" i="0" baseline="0">
                    <a:effectLst/>
                  </a:rPr>
                  <a:t>Output (kg)</a:t>
                </a:r>
                <a:endParaRPr lang="en-GB" sz="9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670240"/>
        <c:crosses val="max"/>
        <c:crossBetween val="between"/>
      </c:valAx>
      <c:catAx>
        <c:axId val="387670240"/>
        <c:scaling>
          <c:orientation val="minMax"/>
        </c:scaling>
        <c:delete val="1"/>
        <c:axPos val="b"/>
        <c:majorTickMark val="out"/>
        <c:minorTickMark val="none"/>
        <c:tickLblPos val="nextTo"/>
        <c:crossAx val="3876722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104775</xdr:colOff>
      <xdr:row>60</xdr:row>
      <xdr:rowOff>4762</xdr:rowOff>
    </xdr:from>
    <xdr:to>
      <xdr:col>15</xdr:col>
      <xdr:colOff>409575</xdr:colOff>
      <xdr:row>74</xdr:row>
      <xdr:rowOff>80962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47625</xdr:colOff>
      <xdr:row>78</xdr:row>
      <xdr:rowOff>161925</xdr:rowOff>
    </xdr:from>
    <xdr:to>
      <xdr:col>15</xdr:col>
      <xdr:colOff>352425</xdr:colOff>
      <xdr:row>93</xdr:row>
      <xdr:rowOff>47625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428625</xdr:colOff>
      <xdr:row>60</xdr:row>
      <xdr:rowOff>19050</xdr:rowOff>
    </xdr:from>
    <xdr:to>
      <xdr:col>24</xdr:col>
      <xdr:colOff>123825</xdr:colOff>
      <xdr:row>74</xdr:row>
      <xdr:rowOff>95250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457200</xdr:colOff>
      <xdr:row>78</xdr:row>
      <xdr:rowOff>133350</xdr:rowOff>
    </xdr:from>
    <xdr:to>
      <xdr:col>24</xdr:col>
      <xdr:colOff>152400</xdr:colOff>
      <xdr:row>93</xdr:row>
      <xdr:rowOff>19050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17"/>
  <sheetViews>
    <sheetView workbookViewId="0">
      <selection activeCell="K6" sqref="K6"/>
    </sheetView>
  </sheetViews>
  <sheetFormatPr defaultRowHeight="15" x14ac:dyDescent="0.25"/>
  <sheetData>
    <row r="1" spans="1:6" x14ac:dyDescent="0.25">
      <c r="A1" t="s">
        <v>31</v>
      </c>
    </row>
    <row r="2" spans="1:6" x14ac:dyDescent="0.25">
      <c r="A2" s="14"/>
      <c r="B2" s="32" t="s">
        <v>18</v>
      </c>
      <c r="C2" s="32"/>
      <c r="D2" s="32"/>
      <c r="E2" s="32"/>
      <c r="F2" s="32"/>
    </row>
    <row r="3" spans="1:6" x14ac:dyDescent="0.25">
      <c r="A3" s="33" t="s">
        <v>15</v>
      </c>
      <c r="B3" s="31">
        <v>2022</v>
      </c>
      <c r="C3" s="31">
        <v>2023</v>
      </c>
      <c r="D3" s="31">
        <v>2024</v>
      </c>
      <c r="E3" s="31">
        <v>2025</v>
      </c>
      <c r="F3" s="31">
        <v>2026</v>
      </c>
    </row>
    <row r="4" spans="1:6" ht="18" x14ac:dyDescent="0.25">
      <c r="A4" s="33"/>
      <c r="B4" s="12" t="s">
        <v>13</v>
      </c>
      <c r="C4" s="12" t="s">
        <v>13</v>
      </c>
      <c r="D4" s="12" t="s">
        <v>13</v>
      </c>
      <c r="E4" s="12" t="s">
        <v>13</v>
      </c>
      <c r="F4" s="12" t="s">
        <v>13</v>
      </c>
    </row>
    <row r="5" spans="1:6" x14ac:dyDescent="0.25">
      <c r="A5" s="11" t="s">
        <v>12</v>
      </c>
      <c r="B5" s="10">
        <f>'LPG 14kg'!C45+'LPG 50kg'!C45+Diesel!C45+Petrol!C45</f>
        <v>8.8990804100351664</v>
      </c>
      <c r="C5" s="7">
        <f>'LPG 14kg'!D45+'LPG 50kg'!D45+Diesel!D45+Petrol!D45</f>
        <v>15.491</v>
      </c>
      <c r="D5" s="6">
        <f>'LPG 14kg'!E45+'LPG 50kg'!E45+Diesel!E45+Petrol!E45</f>
        <v>18.408000000000001</v>
      </c>
      <c r="E5" s="5">
        <f>'LPG 14kg'!F45+'LPG 50kg'!F45+Diesel!F45+Petrol!F45</f>
        <v>20.884</v>
      </c>
      <c r="F5" s="4">
        <f>'LPG 14kg'!G45+'LPG 50kg'!G45+Diesel!G45+Petrol!G45</f>
        <v>16.011000000000003</v>
      </c>
    </row>
    <row r="6" spans="1:6" x14ac:dyDescent="0.25">
      <c r="A6" s="11" t="s">
        <v>11</v>
      </c>
      <c r="B6" s="10">
        <f>'LPG 14kg'!C46+'LPG 50kg'!C46+Diesel!C46+Petrol!C46</f>
        <v>7.1051519412070334</v>
      </c>
      <c r="C6" s="7">
        <f>'LPG 14kg'!D46+'LPG 50kg'!D46+Diesel!D46+Petrol!D46</f>
        <v>14.96</v>
      </c>
      <c r="D6" s="6">
        <f>'LPG 14kg'!E46+'LPG 50kg'!E46+Diesel!E46+Petrol!E46</f>
        <v>18.731999999999999</v>
      </c>
      <c r="E6" s="5">
        <f>'LPG 14kg'!F46+'LPG 50kg'!F46+Diesel!F46+Petrol!F46</f>
        <v>18.295999999999999</v>
      </c>
      <c r="F6" s="4">
        <f>'LPG 14kg'!G46+'LPG 50kg'!G46+Diesel!G46+Petrol!G46</f>
        <v>14.920999999999999</v>
      </c>
    </row>
    <row r="7" spans="1:6" x14ac:dyDescent="0.25">
      <c r="A7" s="11" t="s">
        <v>10</v>
      </c>
      <c r="B7" s="10">
        <f>'LPG 14kg'!C47+'LPG 50kg'!C47+Diesel!C47+Petrol!C47</f>
        <v>9.5998456472535452</v>
      </c>
      <c r="C7" s="7">
        <f>'LPG 14kg'!D47+'LPG 50kg'!D47+Diesel!D47+Petrol!D47</f>
        <v>18.596</v>
      </c>
      <c r="D7" s="6">
        <f>'LPG 14kg'!E47+'LPG 50kg'!E47+Diesel!E47+Petrol!E47</f>
        <v>18.568000000000001</v>
      </c>
      <c r="E7" s="5">
        <f>'LPG 14kg'!F47+'LPG 50kg'!F47+Diesel!F47+Petrol!F47</f>
        <v>20.95</v>
      </c>
      <c r="F7" s="4">
        <f>'LPG 14kg'!G47+'LPG 50kg'!G47+Diesel!G47+Petrol!G47</f>
        <v>13.732999999999999</v>
      </c>
    </row>
    <row r="8" spans="1:6" x14ac:dyDescent="0.25">
      <c r="A8" s="11" t="s">
        <v>9</v>
      </c>
      <c r="B8" s="10">
        <f>'LPG 14kg'!C48+'LPG 50kg'!C48+Diesel!C48+Petrol!C48</f>
        <v>7.8184809014271117</v>
      </c>
      <c r="C8" s="7">
        <f>'LPG 14kg'!D48+'LPG 50kg'!D48+Diesel!D48+Petrol!D48</f>
        <v>16.168999999999997</v>
      </c>
      <c r="D8" s="6">
        <f>'LPG 14kg'!E48+'LPG 50kg'!E48+Diesel!E48+Petrol!E48</f>
        <v>18.974</v>
      </c>
      <c r="E8" s="5">
        <f>'LPG 14kg'!F48+'LPG 50kg'!F48+Diesel!F48+Petrol!F48</f>
        <v>18.123000000000001</v>
      </c>
      <c r="F8" s="4">
        <f>'LPG 14kg'!G48+'LPG 50kg'!G48+Diesel!G48+Petrol!G48</f>
        <v>16.671999999999997</v>
      </c>
    </row>
    <row r="9" spans="1:6" x14ac:dyDescent="0.25">
      <c r="A9" s="11" t="s">
        <v>8</v>
      </c>
      <c r="B9" s="10">
        <f>'LPG 14kg'!C49+'LPG 50kg'!C49+Diesel!C49+Petrol!C49</f>
        <v>10.062469935090187</v>
      </c>
      <c r="C9" s="7">
        <f>'LPG 14kg'!D49+'LPG 50kg'!D49+Diesel!D49+Petrol!D49</f>
        <v>21.433</v>
      </c>
      <c r="D9" s="6">
        <f>'LPG 14kg'!E49+'LPG 50kg'!E49+Diesel!E49+Petrol!E49</f>
        <v>19.867000000000001</v>
      </c>
      <c r="E9" s="5">
        <f>'LPG 14kg'!F49+'LPG 50kg'!F49+Diesel!F49+Petrol!F49</f>
        <v>19.552</v>
      </c>
      <c r="F9" s="4">
        <f>'LPG 14kg'!G49+'LPG 50kg'!G49+Diesel!G49+Petrol!G49</f>
        <v>16.781999999999996</v>
      </c>
    </row>
    <row r="10" spans="1:6" x14ac:dyDescent="0.25">
      <c r="A10" s="11" t="s">
        <v>7</v>
      </c>
      <c r="B10" s="10">
        <f>'LPG 14kg'!C50+'LPG 50kg'!C50+Diesel!C50+Petrol!C50</f>
        <v>9.5539168112172437</v>
      </c>
      <c r="C10" s="7">
        <f>'LPG 14kg'!D50+'LPG 50kg'!D50+Diesel!D50+Petrol!D50</f>
        <v>18.186999999999998</v>
      </c>
      <c r="D10" s="6">
        <f>'LPG 14kg'!E50+'LPG 50kg'!E50+Diesel!E50+Petrol!E50</f>
        <v>22.929000000000002</v>
      </c>
      <c r="E10" s="5">
        <f>'LPG 14kg'!F50+'LPG 50kg'!F50+Diesel!F50+Petrol!F50</f>
        <v>18.646000000000001</v>
      </c>
      <c r="F10" s="4">
        <f>'LPG 14kg'!G50+'LPG 50kg'!G50+Diesel!G50+Petrol!G50</f>
        <v>17.795999999999999</v>
      </c>
    </row>
    <row r="11" spans="1:6" x14ac:dyDescent="0.25">
      <c r="A11" s="11" t="s">
        <v>6</v>
      </c>
      <c r="B11" s="10">
        <f>'LPG 14kg'!C51+'LPG 50kg'!C51+Diesel!C51+Petrol!C51</f>
        <v>10.274517224850824</v>
      </c>
      <c r="C11" s="7">
        <f>'LPG 14kg'!D51+'LPG 50kg'!D51+Diesel!D51+Petrol!D51</f>
        <v>21.635999999999999</v>
      </c>
      <c r="D11" s="6">
        <f>'LPG 14kg'!E51+'LPG 50kg'!E51+Diesel!E51+Petrol!E51</f>
        <v>23.536000000000001</v>
      </c>
      <c r="E11" s="5">
        <f>'LPG 14kg'!F51+'LPG 50kg'!F51+Diesel!F51+Petrol!F51</f>
        <v>18.841999999999999</v>
      </c>
      <c r="F11" s="4">
        <f>'LPG 14kg'!G51+'LPG 50kg'!G51+Diesel!G51+Petrol!G51</f>
        <v>19.451000000000001</v>
      </c>
    </row>
    <row r="12" spans="1:6" x14ac:dyDescent="0.25">
      <c r="A12" s="11" t="s">
        <v>5</v>
      </c>
      <c r="B12" s="10">
        <f>'LPG 14kg'!C52+'LPG 50kg'!C52+Diesel!C52+Petrol!C52</f>
        <v>8.5121919538128186</v>
      </c>
      <c r="C12" s="7">
        <f>'LPG 14kg'!D52+'LPG 50kg'!D52+Diesel!D52+Petrol!D52</f>
        <v>23.837999999999997</v>
      </c>
      <c r="D12" s="6">
        <f>'LPG 14kg'!E52+'LPG 50kg'!E52+Diesel!E52+Petrol!E52</f>
        <v>24.963999999999999</v>
      </c>
      <c r="E12" s="5">
        <f>'LPG 14kg'!F52+'LPG 50kg'!F52+Diesel!F52+Petrol!F52</f>
        <v>14.741000000000001</v>
      </c>
      <c r="F12" s="4">
        <f>'LPG 14kg'!G52+'LPG 50kg'!G52+Diesel!G52+Petrol!G52</f>
        <v>0</v>
      </c>
    </row>
    <row r="13" spans="1:6" x14ac:dyDescent="0.25">
      <c r="A13" s="11" t="s">
        <v>4</v>
      </c>
      <c r="B13" s="10">
        <f>'LPG 14kg'!C53+'LPG 50kg'!C53+Diesel!C53+Petrol!C53</f>
        <v>11.473154434420874</v>
      </c>
      <c r="C13" s="7">
        <f>'LPG 14kg'!D53+'LPG 50kg'!D53+Diesel!D53+Petrol!D53</f>
        <v>21.965</v>
      </c>
      <c r="D13" s="6">
        <f>'LPG 14kg'!E53+'LPG 50kg'!E53+Diesel!E53+Petrol!E53</f>
        <v>21.396000000000001</v>
      </c>
      <c r="E13" s="5">
        <f>'LPG 14kg'!F53+'LPG 50kg'!F53+Diesel!F53+Petrol!F53</f>
        <v>14.056000000000001</v>
      </c>
      <c r="F13" s="4">
        <f>'LPG 14kg'!G53+'LPG 50kg'!G53+Diesel!G53+Petrol!G53</f>
        <v>0</v>
      </c>
    </row>
    <row r="14" spans="1:6" x14ac:dyDescent="0.25">
      <c r="A14" s="11" t="s">
        <v>3</v>
      </c>
      <c r="B14" s="10">
        <f>'LPG 14kg'!C54+'LPG 50kg'!C54+Diesel!C54+Petrol!C54</f>
        <v>9.0755961424163356</v>
      </c>
      <c r="C14" s="7">
        <f>'LPG 14kg'!D54+'LPG 50kg'!D54+Diesel!D54+Petrol!D54</f>
        <v>22.768999999999998</v>
      </c>
      <c r="D14" s="6">
        <f>'LPG 14kg'!E54+'LPG 50kg'!E54+Diesel!E54+Petrol!E54</f>
        <v>21.759</v>
      </c>
      <c r="E14" s="5">
        <f>'LPG 14kg'!F54+'LPG 50kg'!F54+Diesel!F54+Petrol!F54</f>
        <v>15.992000000000001</v>
      </c>
      <c r="F14" s="4">
        <f>'LPG 14kg'!G54+'LPG 50kg'!G54+Diesel!G54+Petrol!G54</f>
        <v>0</v>
      </c>
    </row>
    <row r="15" spans="1:6" x14ac:dyDescent="0.25">
      <c r="A15" s="11" t="s">
        <v>2</v>
      </c>
      <c r="B15" s="10">
        <f>'LPG 14kg'!C55+'LPG 50kg'!C55+Diesel!C55+Petrol!C55</f>
        <v>9.5140608669018718</v>
      </c>
      <c r="C15" s="7">
        <f>'LPG 14kg'!D55+'LPG 50kg'!D55+Diesel!D55+Petrol!D55</f>
        <v>19.282</v>
      </c>
      <c r="D15" s="6">
        <f>'LPG 14kg'!E55+'LPG 50kg'!E55+Diesel!E55+Petrol!E55</f>
        <v>20.421999999999997</v>
      </c>
      <c r="E15" s="5">
        <f>'LPG 14kg'!F55+'LPG 50kg'!F55+Diesel!F55+Petrol!F55</f>
        <v>12.077999999999999</v>
      </c>
      <c r="F15" s="4">
        <f>'LPG 14kg'!G55+'LPG 50kg'!G55+Diesel!G55+Petrol!G55</f>
        <v>0</v>
      </c>
    </row>
    <row r="16" spans="1:6" x14ac:dyDescent="0.25">
      <c r="A16" s="11" t="s">
        <v>1</v>
      </c>
      <c r="B16" s="10">
        <f>'LPG 14kg'!C56+'LPG 50kg'!C56+Diesel!C56+Petrol!C56</f>
        <v>10.154403146085082</v>
      </c>
      <c r="C16" s="7">
        <f>'LPG 14kg'!D56+'LPG 50kg'!D56+Diesel!D56+Petrol!D56</f>
        <v>18.645</v>
      </c>
      <c r="D16" s="6">
        <f>'LPG 14kg'!E56+'LPG 50kg'!E56+Diesel!E56+Petrol!E56</f>
        <v>18.785999999999998</v>
      </c>
      <c r="E16" s="5">
        <f>'LPG 14kg'!F56+'LPG 50kg'!F56+Diesel!F56+Petrol!F56</f>
        <v>12.809000000000001</v>
      </c>
      <c r="F16" s="4">
        <f>'LPG 14kg'!G56+'LPG 50kg'!G56+Diesel!G56+Petrol!G56</f>
        <v>0</v>
      </c>
    </row>
    <row r="17" spans="1:6" x14ac:dyDescent="0.25">
      <c r="A17" s="3" t="s">
        <v>0</v>
      </c>
      <c r="B17" s="1">
        <f>SUM(B5:B16)</f>
        <v>112.0428694147181</v>
      </c>
      <c r="C17" s="1">
        <f>SUM(C5:C16)</f>
        <v>232.97100000000003</v>
      </c>
      <c r="D17" s="1">
        <f>SUM(D5:D16)</f>
        <v>248.34100000000004</v>
      </c>
      <c r="E17" s="1">
        <f>SUM(E5:E16)</f>
        <v>204.96900000000002</v>
      </c>
      <c r="F17" s="1">
        <f>SUM(F5:F16)</f>
        <v>115.36599999999999</v>
      </c>
    </row>
  </sheetData>
  <mergeCells count="2">
    <mergeCell ref="B2:F2"/>
    <mergeCell ref="A3:A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T57"/>
  <sheetViews>
    <sheetView showGridLines="0" view="pageBreakPreview" topLeftCell="A19" zoomScaleNormal="100" zoomScaleSheetLayoutView="100" workbookViewId="0">
      <selection activeCell="T24" sqref="T24"/>
    </sheetView>
  </sheetViews>
  <sheetFormatPr defaultRowHeight="15" x14ac:dyDescent="0.25"/>
  <cols>
    <col min="1" max="1" width="9.140625" customWidth="1"/>
    <col min="3" max="3" width="9.140625" hidden="1" customWidth="1"/>
    <col min="4" max="5" width="10.5703125" bestFit="1" customWidth="1"/>
    <col min="6" max="6" width="9.5703125" bestFit="1" customWidth="1"/>
    <col min="7" max="8" width="9.5703125" customWidth="1"/>
    <col min="9" max="9" width="9.5703125" hidden="1" customWidth="1"/>
    <col min="10" max="12" width="9.5703125" bestFit="1" customWidth="1"/>
    <col min="13" max="13" width="9.5703125" customWidth="1"/>
    <col min="14" max="14" width="9.5703125" hidden="1" customWidth="1"/>
    <col min="15" max="17" width="9.5703125" bestFit="1" customWidth="1"/>
    <col min="18" max="18" width="9.5703125" customWidth="1"/>
  </cols>
  <sheetData>
    <row r="1" spans="1:18" ht="46.5" x14ac:dyDescent="0.7">
      <c r="A1" s="34" t="str">
        <f ca="1">RIGHT(CELL("filename",A1),LEN(CELL("filename",A1))-FIND("]",CELL("filename",A1)))</f>
        <v>LPG 14kg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25"/>
    </row>
    <row r="2" spans="1:18" x14ac:dyDescent="0.25">
      <c r="A2" s="15" t="s">
        <v>23</v>
      </c>
    </row>
    <row r="3" spans="1:18" x14ac:dyDescent="0.25">
      <c r="A3" s="24"/>
      <c r="O3" s="24"/>
    </row>
    <row r="4" spans="1:18" x14ac:dyDescent="0.25">
      <c r="B4" s="14"/>
      <c r="C4" s="32" t="s">
        <v>18</v>
      </c>
      <c r="D4" s="32"/>
      <c r="E4" s="32"/>
      <c r="F4" s="32"/>
      <c r="G4" s="32"/>
      <c r="I4" s="32" t="s">
        <v>17</v>
      </c>
      <c r="J4" s="32"/>
      <c r="K4" s="32"/>
      <c r="L4" s="32"/>
      <c r="M4" s="32"/>
      <c r="N4" s="32" t="s">
        <v>16</v>
      </c>
      <c r="O4" s="32"/>
      <c r="P4" s="32"/>
      <c r="Q4" s="32"/>
      <c r="R4" s="32"/>
    </row>
    <row r="5" spans="1:18" x14ac:dyDescent="0.25">
      <c r="B5" s="33" t="s">
        <v>15</v>
      </c>
      <c r="C5" s="13">
        <v>2022</v>
      </c>
      <c r="D5" s="13">
        <v>2023</v>
      </c>
      <c r="E5" s="13">
        <v>2024</v>
      </c>
      <c r="F5" s="13">
        <v>2025</v>
      </c>
      <c r="G5" s="13">
        <v>2026</v>
      </c>
      <c r="I5" s="13">
        <v>2022</v>
      </c>
      <c r="J5" s="13">
        <v>2023</v>
      </c>
      <c r="K5" s="13">
        <v>2024</v>
      </c>
      <c r="L5" s="13">
        <v>2025</v>
      </c>
      <c r="M5" s="13">
        <v>2026</v>
      </c>
      <c r="N5" s="13">
        <v>2022</v>
      </c>
      <c r="O5" s="13">
        <v>2023</v>
      </c>
      <c r="P5" s="13">
        <v>2024</v>
      </c>
      <c r="Q5" s="13">
        <v>2025</v>
      </c>
      <c r="R5" s="13">
        <v>2026</v>
      </c>
    </row>
    <row r="6" spans="1:18" x14ac:dyDescent="0.25">
      <c r="B6" s="33"/>
      <c r="C6" s="13" t="s">
        <v>22</v>
      </c>
      <c r="D6" s="12" t="s">
        <v>22</v>
      </c>
      <c r="E6" s="12" t="s">
        <v>22</v>
      </c>
      <c r="F6" s="12" t="s">
        <v>22</v>
      </c>
      <c r="G6" s="12" t="s">
        <v>22</v>
      </c>
      <c r="I6" s="12" t="s">
        <v>22</v>
      </c>
      <c r="J6" s="12" t="s">
        <v>22</v>
      </c>
      <c r="K6" s="12" t="s">
        <v>22</v>
      </c>
      <c r="L6" s="12" t="s">
        <v>22</v>
      </c>
      <c r="M6" s="12" t="s">
        <v>22</v>
      </c>
      <c r="N6" s="12" t="s">
        <v>22</v>
      </c>
      <c r="O6" s="12" t="s">
        <v>22</v>
      </c>
      <c r="P6" s="12" t="s">
        <v>22</v>
      </c>
      <c r="Q6" s="12" t="s">
        <v>22</v>
      </c>
      <c r="R6" s="12" t="s">
        <v>22</v>
      </c>
    </row>
    <row r="7" spans="1:18" x14ac:dyDescent="0.25">
      <c r="B7" s="11" t="s">
        <v>12</v>
      </c>
      <c r="C7" s="23">
        <f t="shared" ref="C7:C18" si="0">I7+N7</f>
        <v>21</v>
      </c>
      <c r="D7" s="19">
        <v>38</v>
      </c>
      <c r="E7" s="18">
        <v>58</v>
      </c>
      <c r="F7" s="17">
        <v>61</v>
      </c>
      <c r="G7" s="9">
        <v>59</v>
      </c>
      <c r="I7" s="23">
        <v>21</v>
      </c>
      <c r="J7" s="19">
        <f t="shared" ref="J7:J17" si="1">D7-O7</f>
        <v>25</v>
      </c>
      <c r="K7" s="18">
        <f t="shared" ref="K7:K17" si="2">E7-P7</f>
        <v>37</v>
      </c>
      <c r="L7" s="17">
        <f t="shared" ref="L7:L17" si="3">F7-Q7</f>
        <v>43</v>
      </c>
      <c r="M7" s="9">
        <v>28</v>
      </c>
      <c r="N7" s="22">
        <v>0</v>
      </c>
      <c r="O7" s="19">
        <v>13</v>
      </c>
      <c r="P7" s="18">
        <v>21</v>
      </c>
      <c r="Q7" s="17">
        <v>18</v>
      </c>
      <c r="R7" s="9">
        <v>31</v>
      </c>
    </row>
    <row r="8" spans="1:18" x14ac:dyDescent="0.25">
      <c r="B8" s="11" t="s">
        <v>11</v>
      </c>
      <c r="C8" s="23">
        <f t="shared" si="0"/>
        <v>22</v>
      </c>
      <c r="D8" s="19">
        <v>49</v>
      </c>
      <c r="E8" s="18">
        <v>54</v>
      </c>
      <c r="F8" s="17">
        <v>69</v>
      </c>
      <c r="G8" s="9">
        <v>49</v>
      </c>
      <c r="I8" s="23">
        <v>22</v>
      </c>
      <c r="J8" s="19">
        <f t="shared" si="1"/>
        <v>36</v>
      </c>
      <c r="K8" s="18">
        <f t="shared" si="2"/>
        <v>54</v>
      </c>
      <c r="L8" s="17">
        <f t="shared" si="3"/>
        <v>31</v>
      </c>
      <c r="M8" s="9">
        <v>29</v>
      </c>
      <c r="N8" s="22">
        <v>0</v>
      </c>
      <c r="O8" s="19">
        <v>13</v>
      </c>
      <c r="P8" s="18">
        <v>0</v>
      </c>
      <c r="Q8" s="17">
        <v>38</v>
      </c>
      <c r="R8" s="9">
        <v>20</v>
      </c>
    </row>
    <row r="9" spans="1:18" x14ac:dyDescent="0.25">
      <c r="B9" s="11" t="s">
        <v>10</v>
      </c>
      <c r="C9" s="23">
        <f t="shared" si="0"/>
        <v>34</v>
      </c>
      <c r="D9" s="19">
        <v>65</v>
      </c>
      <c r="E9" s="18">
        <v>86</v>
      </c>
      <c r="F9" s="17">
        <v>66</v>
      </c>
      <c r="G9" s="9">
        <f t="shared" ref="G9:G18" si="4">M9+R9</f>
        <v>42</v>
      </c>
      <c r="I9" s="23">
        <v>34</v>
      </c>
      <c r="J9" s="19">
        <f t="shared" si="1"/>
        <v>54</v>
      </c>
      <c r="K9" s="18">
        <f t="shared" si="2"/>
        <v>70</v>
      </c>
      <c r="L9" s="17">
        <f t="shared" si="3"/>
        <v>31</v>
      </c>
      <c r="M9" s="9">
        <v>29</v>
      </c>
      <c r="N9" s="22">
        <v>0</v>
      </c>
      <c r="O9" s="19">
        <v>11</v>
      </c>
      <c r="P9" s="18">
        <v>16</v>
      </c>
      <c r="Q9" s="17">
        <v>35</v>
      </c>
      <c r="R9" s="9">
        <v>13</v>
      </c>
    </row>
    <row r="10" spans="1:18" x14ac:dyDescent="0.25">
      <c r="B10" s="11" t="s">
        <v>9</v>
      </c>
      <c r="C10" s="23">
        <f t="shared" si="0"/>
        <v>24</v>
      </c>
      <c r="D10" s="19">
        <v>60</v>
      </c>
      <c r="E10" s="18">
        <v>74</v>
      </c>
      <c r="F10" s="17">
        <v>76</v>
      </c>
      <c r="G10" s="9">
        <f t="shared" si="4"/>
        <v>62</v>
      </c>
      <c r="I10" s="23">
        <v>24</v>
      </c>
      <c r="J10" s="19">
        <f t="shared" si="1"/>
        <v>44</v>
      </c>
      <c r="K10" s="18">
        <f t="shared" si="2"/>
        <v>59</v>
      </c>
      <c r="L10" s="17">
        <f t="shared" si="3"/>
        <v>57</v>
      </c>
      <c r="M10" s="9">
        <v>26</v>
      </c>
      <c r="N10" s="22">
        <v>0</v>
      </c>
      <c r="O10" s="19">
        <v>16</v>
      </c>
      <c r="P10" s="18">
        <v>15</v>
      </c>
      <c r="Q10" s="17">
        <v>19</v>
      </c>
      <c r="R10" s="9">
        <v>36</v>
      </c>
    </row>
    <row r="11" spans="1:18" x14ac:dyDescent="0.25">
      <c r="B11" s="11" t="s">
        <v>8</v>
      </c>
      <c r="C11" s="23">
        <f t="shared" si="0"/>
        <v>38</v>
      </c>
      <c r="D11" s="19">
        <v>99</v>
      </c>
      <c r="E11" s="18">
        <v>76</v>
      </c>
      <c r="F11" s="17">
        <v>91</v>
      </c>
      <c r="G11" s="9">
        <f t="shared" si="4"/>
        <v>48</v>
      </c>
      <c r="I11" s="23">
        <v>38</v>
      </c>
      <c r="J11" s="19">
        <f t="shared" si="1"/>
        <v>53</v>
      </c>
      <c r="K11" s="18">
        <f t="shared" si="2"/>
        <v>65</v>
      </c>
      <c r="L11" s="17">
        <f t="shared" si="3"/>
        <v>60</v>
      </c>
      <c r="M11" s="9">
        <v>25</v>
      </c>
      <c r="N11" s="22">
        <v>0</v>
      </c>
      <c r="O11" s="19">
        <v>46</v>
      </c>
      <c r="P11" s="18">
        <v>11</v>
      </c>
      <c r="Q11" s="17">
        <v>31</v>
      </c>
      <c r="R11" s="9">
        <v>23</v>
      </c>
    </row>
    <row r="12" spans="1:18" x14ac:dyDescent="0.25">
      <c r="B12" s="11" t="s">
        <v>7</v>
      </c>
      <c r="C12" s="23">
        <f t="shared" si="0"/>
        <v>25</v>
      </c>
      <c r="D12" s="19">
        <v>71</v>
      </c>
      <c r="E12" s="18">
        <v>102</v>
      </c>
      <c r="F12" s="17">
        <v>65</v>
      </c>
      <c r="G12" s="9">
        <f t="shared" si="4"/>
        <v>73</v>
      </c>
      <c r="I12" s="23">
        <v>25</v>
      </c>
      <c r="J12" s="19">
        <f t="shared" si="1"/>
        <v>18</v>
      </c>
      <c r="K12" s="18">
        <f t="shared" si="2"/>
        <v>55</v>
      </c>
      <c r="L12" s="17">
        <f t="shared" si="3"/>
        <v>34</v>
      </c>
      <c r="M12" s="9">
        <v>31</v>
      </c>
      <c r="N12" s="22">
        <v>0</v>
      </c>
      <c r="O12" s="19">
        <v>53</v>
      </c>
      <c r="P12" s="18">
        <v>47</v>
      </c>
      <c r="Q12" s="17">
        <v>31</v>
      </c>
      <c r="R12" s="9">
        <v>42</v>
      </c>
    </row>
    <row r="13" spans="1:18" x14ac:dyDescent="0.25">
      <c r="B13" s="11" t="s">
        <v>6</v>
      </c>
      <c r="C13" s="23">
        <f t="shared" si="0"/>
        <v>35</v>
      </c>
      <c r="D13" s="19">
        <v>67</v>
      </c>
      <c r="E13" s="18">
        <v>85</v>
      </c>
      <c r="F13" s="17">
        <v>66</v>
      </c>
      <c r="G13" s="9">
        <f t="shared" si="4"/>
        <v>55</v>
      </c>
      <c r="I13" s="23">
        <v>35</v>
      </c>
      <c r="J13" s="19">
        <f t="shared" si="1"/>
        <v>43</v>
      </c>
      <c r="K13" s="18">
        <f t="shared" si="2"/>
        <v>39</v>
      </c>
      <c r="L13" s="17">
        <f t="shared" si="3"/>
        <v>44</v>
      </c>
      <c r="M13" s="9">
        <v>24</v>
      </c>
      <c r="N13" s="22">
        <v>0</v>
      </c>
      <c r="O13" s="19">
        <v>24</v>
      </c>
      <c r="P13" s="18">
        <v>46</v>
      </c>
      <c r="Q13" s="17">
        <v>22</v>
      </c>
      <c r="R13" s="9">
        <v>31</v>
      </c>
    </row>
    <row r="14" spans="1:18" x14ac:dyDescent="0.25">
      <c r="B14" s="11" t="s">
        <v>5</v>
      </c>
      <c r="C14" s="23">
        <f t="shared" si="0"/>
        <v>37</v>
      </c>
      <c r="D14" s="19">
        <v>163</v>
      </c>
      <c r="E14" s="18">
        <v>108</v>
      </c>
      <c r="F14" s="17">
        <v>51</v>
      </c>
      <c r="G14" s="9">
        <f t="shared" si="4"/>
        <v>0</v>
      </c>
      <c r="I14" s="23">
        <v>26</v>
      </c>
      <c r="J14" s="19">
        <f t="shared" si="1"/>
        <v>92</v>
      </c>
      <c r="K14" s="18">
        <f t="shared" si="2"/>
        <v>55</v>
      </c>
      <c r="L14" s="17">
        <f t="shared" si="3"/>
        <v>20</v>
      </c>
      <c r="M14" s="9"/>
      <c r="N14" s="22">
        <v>11</v>
      </c>
      <c r="O14" s="19">
        <v>71</v>
      </c>
      <c r="P14" s="18">
        <v>53</v>
      </c>
      <c r="Q14" s="17">
        <v>31</v>
      </c>
      <c r="R14" s="9"/>
    </row>
    <row r="15" spans="1:18" x14ac:dyDescent="0.25">
      <c r="B15" s="11" t="s">
        <v>4</v>
      </c>
      <c r="C15" s="23">
        <f t="shared" si="0"/>
        <v>51</v>
      </c>
      <c r="D15" s="19">
        <v>104</v>
      </c>
      <c r="E15" s="18">
        <v>98</v>
      </c>
      <c r="F15" s="17">
        <v>62</v>
      </c>
      <c r="G15" s="9">
        <f t="shared" si="4"/>
        <v>0</v>
      </c>
      <c r="I15" s="23">
        <v>38</v>
      </c>
      <c r="J15" s="19">
        <f t="shared" si="1"/>
        <v>45</v>
      </c>
      <c r="K15" s="18">
        <f t="shared" si="2"/>
        <v>64</v>
      </c>
      <c r="L15" s="17">
        <f t="shared" si="3"/>
        <v>31</v>
      </c>
      <c r="M15" s="9"/>
      <c r="N15" s="22">
        <v>13</v>
      </c>
      <c r="O15" s="19">
        <v>59</v>
      </c>
      <c r="P15" s="18">
        <v>34</v>
      </c>
      <c r="Q15" s="17">
        <v>31</v>
      </c>
      <c r="R15" s="9"/>
    </row>
    <row r="16" spans="1:18" x14ac:dyDescent="0.25">
      <c r="B16" s="11" t="s">
        <v>3</v>
      </c>
      <c r="C16" s="23">
        <f t="shared" si="0"/>
        <v>26</v>
      </c>
      <c r="D16" s="19">
        <v>75</v>
      </c>
      <c r="E16" s="18">
        <v>81</v>
      </c>
      <c r="F16" s="17">
        <v>44</v>
      </c>
      <c r="G16" s="9">
        <f t="shared" si="4"/>
        <v>0</v>
      </c>
      <c r="I16" s="23">
        <v>10</v>
      </c>
      <c r="J16" s="19">
        <f t="shared" si="1"/>
        <v>37</v>
      </c>
      <c r="K16" s="18">
        <f t="shared" si="2"/>
        <v>47</v>
      </c>
      <c r="L16" s="17">
        <f t="shared" si="3"/>
        <v>31</v>
      </c>
      <c r="M16" s="9"/>
      <c r="N16" s="22">
        <v>16</v>
      </c>
      <c r="O16" s="19">
        <v>38</v>
      </c>
      <c r="P16" s="18">
        <v>34</v>
      </c>
      <c r="Q16" s="17">
        <v>13</v>
      </c>
      <c r="R16" s="9"/>
    </row>
    <row r="17" spans="1:20" x14ac:dyDescent="0.25">
      <c r="B17" s="11" t="s">
        <v>2</v>
      </c>
      <c r="C17" s="23">
        <f t="shared" si="0"/>
        <v>48</v>
      </c>
      <c r="D17" s="19">
        <v>73</v>
      </c>
      <c r="E17" s="18">
        <v>63</v>
      </c>
      <c r="F17" s="17">
        <v>44</v>
      </c>
      <c r="G17" s="9">
        <f t="shared" si="4"/>
        <v>0</v>
      </c>
      <c r="I17" s="23">
        <v>34</v>
      </c>
      <c r="J17" s="19">
        <f t="shared" si="1"/>
        <v>47</v>
      </c>
      <c r="K17" s="18">
        <f t="shared" si="2"/>
        <v>36</v>
      </c>
      <c r="L17" s="17">
        <f t="shared" si="3"/>
        <v>34</v>
      </c>
      <c r="M17" s="9"/>
      <c r="N17" s="22">
        <v>14</v>
      </c>
      <c r="O17" s="19">
        <v>26</v>
      </c>
      <c r="P17" s="18">
        <v>27</v>
      </c>
      <c r="Q17" s="17">
        <v>10</v>
      </c>
      <c r="R17" s="9"/>
    </row>
    <row r="18" spans="1:20" x14ac:dyDescent="0.25">
      <c r="B18" s="11" t="s">
        <v>1</v>
      </c>
      <c r="C18" s="23">
        <f t="shared" si="0"/>
        <v>57</v>
      </c>
      <c r="D18" s="19">
        <v>78</v>
      </c>
      <c r="E18" s="18">
        <v>78</v>
      </c>
      <c r="F18" s="17">
        <f>L18+Q18</f>
        <v>47</v>
      </c>
      <c r="G18" s="9">
        <f t="shared" si="4"/>
        <v>0</v>
      </c>
      <c r="I18" s="23">
        <v>39</v>
      </c>
      <c r="J18" s="19">
        <f>D18-O18</f>
        <v>58</v>
      </c>
      <c r="K18" s="18">
        <f>E18-P18</f>
        <v>45</v>
      </c>
      <c r="L18" s="17">
        <v>35</v>
      </c>
      <c r="M18" s="9"/>
      <c r="N18" s="22">
        <v>18</v>
      </c>
      <c r="O18" s="19">
        <v>20</v>
      </c>
      <c r="P18" s="18">
        <v>33</v>
      </c>
      <c r="Q18" s="17">
        <v>12</v>
      </c>
      <c r="R18" s="9"/>
    </row>
    <row r="19" spans="1:20" x14ac:dyDescent="0.25">
      <c r="B19" s="3" t="s">
        <v>0</v>
      </c>
      <c r="C19" s="16">
        <f>SUM(C7:C18)</f>
        <v>418</v>
      </c>
      <c r="D19" s="16">
        <f>SUM(D7:D18)</f>
        <v>942</v>
      </c>
      <c r="E19" s="16">
        <f>SUM(E7:E18)</f>
        <v>963</v>
      </c>
      <c r="F19" s="16">
        <f>SUM(F7:F18)</f>
        <v>742</v>
      </c>
      <c r="G19" s="16">
        <f>SUM(G7:G18)</f>
        <v>388</v>
      </c>
      <c r="I19" s="16">
        <f t="shared" ref="I19:R19" si="5">SUM(I7:I18)</f>
        <v>346</v>
      </c>
      <c r="J19" s="16">
        <f t="shared" si="5"/>
        <v>552</v>
      </c>
      <c r="K19" s="16">
        <f t="shared" si="5"/>
        <v>626</v>
      </c>
      <c r="L19" s="16">
        <f t="shared" si="5"/>
        <v>451</v>
      </c>
      <c r="M19" s="16">
        <f t="shared" si="5"/>
        <v>192</v>
      </c>
      <c r="N19" s="16">
        <f t="shared" si="5"/>
        <v>72</v>
      </c>
      <c r="O19" s="16">
        <f t="shared" si="5"/>
        <v>390</v>
      </c>
      <c r="P19" s="16">
        <f t="shared" si="5"/>
        <v>337</v>
      </c>
      <c r="Q19" s="16">
        <f t="shared" si="5"/>
        <v>291</v>
      </c>
      <c r="R19" s="16">
        <f t="shared" si="5"/>
        <v>196</v>
      </c>
    </row>
    <row r="21" spans="1:20" x14ac:dyDescent="0.25">
      <c r="A21" s="15" t="s">
        <v>21</v>
      </c>
    </row>
    <row r="23" spans="1:20" x14ac:dyDescent="0.25">
      <c r="B23" s="14"/>
      <c r="C23" s="32" t="s">
        <v>18</v>
      </c>
      <c r="D23" s="32"/>
      <c r="E23" s="32"/>
      <c r="F23" s="32"/>
      <c r="G23" s="32"/>
      <c r="I23" s="32" t="s">
        <v>17</v>
      </c>
      <c r="J23" s="32"/>
      <c r="K23" s="32"/>
      <c r="L23" s="32"/>
      <c r="M23" s="32"/>
      <c r="N23" s="32" t="s">
        <v>16</v>
      </c>
      <c r="O23" s="32"/>
      <c r="P23" s="32"/>
      <c r="Q23" s="32"/>
      <c r="R23" s="32"/>
    </row>
    <row r="24" spans="1:20" x14ac:dyDescent="0.25">
      <c r="B24" s="33" t="s">
        <v>15</v>
      </c>
      <c r="C24" s="13">
        <v>2022</v>
      </c>
      <c r="D24" s="13">
        <v>2023</v>
      </c>
      <c r="E24" s="13">
        <v>2024</v>
      </c>
      <c r="F24" s="13">
        <v>2025</v>
      </c>
      <c r="G24" s="13">
        <v>2026</v>
      </c>
      <c r="I24" s="13">
        <v>2022</v>
      </c>
      <c r="J24" s="13">
        <v>2023</v>
      </c>
      <c r="K24" s="13">
        <v>2024</v>
      </c>
      <c r="L24" s="13">
        <v>2025</v>
      </c>
      <c r="M24" s="13">
        <v>2026</v>
      </c>
      <c r="N24" s="13">
        <v>2022</v>
      </c>
      <c r="O24" s="13">
        <v>2023</v>
      </c>
      <c r="P24" s="13">
        <v>2024</v>
      </c>
      <c r="Q24" s="13">
        <v>2025</v>
      </c>
      <c r="R24" s="13">
        <v>2026</v>
      </c>
      <c r="T24" t="s">
        <v>32</v>
      </c>
    </row>
    <row r="25" spans="1:20" x14ac:dyDescent="0.25">
      <c r="B25" s="33"/>
      <c r="C25" s="13" t="s">
        <v>20</v>
      </c>
      <c r="D25" s="12" t="s">
        <v>20</v>
      </c>
      <c r="E25" s="12" t="s">
        <v>20</v>
      </c>
      <c r="F25" s="13" t="s">
        <v>20</v>
      </c>
      <c r="G25" s="13" t="s">
        <v>20</v>
      </c>
      <c r="I25" s="12" t="s">
        <v>20</v>
      </c>
      <c r="J25" s="12" t="s">
        <v>20</v>
      </c>
      <c r="K25" s="12" t="s">
        <v>20</v>
      </c>
      <c r="L25" s="12" t="s">
        <v>20</v>
      </c>
      <c r="M25" s="12" t="s">
        <v>20</v>
      </c>
      <c r="N25" s="12" t="s">
        <v>20</v>
      </c>
      <c r="O25" s="12" t="s">
        <v>20</v>
      </c>
      <c r="P25" s="12" t="s">
        <v>20</v>
      </c>
      <c r="Q25" s="12" t="s">
        <v>20</v>
      </c>
      <c r="R25" s="12" t="s">
        <v>20</v>
      </c>
    </row>
    <row r="26" spans="1:20" x14ac:dyDescent="0.25">
      <c r="B26" s="11" t="s">
        <v>12</v>
      </c>
      <c r="C26" s="11">
        <f t="shared" ref="C26:G37" si="6">C7*14</f>
        <v>294</v>
      </c>
      <c r="D26" s="19">
        <f t="shared" si="6"/>
        <v>532</v>
      </c>
      <c r="E26" s="18">
        <f t="shared" si="6"/>
        <v>812</v>
      </c>
      <c r="F26" s="17">
        <f t="shared" si="6"/>
        <v>854</v>
      </c>
      <c r="G26" s="9">
        <f t="shared" si="6"/>
        <v>826</v>
      </c>
      <c r="I26" s="21">
        <f t="shared" ref="I26:R26" si="7">I7*14</f>
        <v>294</v>
      </c>
      <c r="J26" s="19">
        <f t="shared" si="7"/>
        <v>350</v>
      </c>
      <c r="K26" s="18">
        <f t="shared" si="7"/>
        <v>518</v>
      </c>
      <c r="L26" s="17">
        <f t="shared" si="7"/>
        <v>602</v>
      </c>
      <c r="M26" s="9">
        <f t="shared" si="7"/>
        <v>392</v>
      </c>
      <c r="N26" s="20">
        <f t="shared" si="7"/>
        <v>0</v>
      </c>
      <c r="O26" s="19">
        <f t="shared" si="7"/>
        <v>182</v>
      </c>
      <c r="P26" s="18">
        <f t="shared" si="7"/>
        <v>294</v>
      </c>
      <c r="Q26" s="17">
        <f t="shared" si="7"/>
        <v>252</v>
      </c>
      <c r="R26" s="9">
        <f t="shared" si="7"/>
        <v>434</v>
      </c>
    </row>
    <row r="27" spans="1:20" x14ac:dyDescent="0.25">
      <c r="B27" s="11" t="s">
        <v>11</v>
      </c>
      <c r="C27" s="11">
        <f t="shared" si="6"/>
        <v>308</v>
      </c>
      <c r="D27" s="19">
        <f t="shared" si="6"/>
        <v>686</v>
      </c>
      <c r="E27" s="18">
        <f t="shared" si="6"/>
        <v>756</v>
      </c>
      <c r="F27" s="17">
        <f t="shared" si="6"/>
        <v>966</v>
      </c>
      <c r="G27" s="9">
        <f t="shared" si="6"/>
        <v>686</v>
      </c>
      <c r="I27" s="21">
        <f t="shared" ref="I27:R27" si="8">I8*14</f>
        <v>308</v>
      </c>
      <c r="J27" s="19">
        <f t="shared" si="8"/>
        <v>504</v>
      </c>
      <c r="K27" s="18">
        <f t="shared" si="8"/>
        <v>756</v>
      </c>
      <c r="L27" s="17">
        <f t="shared" si="8"/>
        <v>434</v>
      </c>
      <c r="M27" s="9">
        <f t="shared" si="8"/>
        <v>406</v>
      </c>
      <c r="N27" s="20">
        <f t="shared" si="8"/>
        <v>0</v>
      </c>
      <c r="O27" s="19">
        <f t="shared" si="8"/>
        <v>182</v>
      </c>
      <c r="P27" s="18">
        <f t="shared" si="8"/>
        <v>0</v>
      </c>
      <c r="Q27" s="17">
        <f t="shared" si="8"/>
        <v>532</v>
      </c>
      <c r="R27" s="9">
        <f t="shared" si="8"/>
        <v>280</v>
      </c>
    </row>
    <row r="28" spans="1:20" x14ac:dyDescent="0.25">
      <c r="B28" s="11" t="s">
        <v>10</v>
      </c>
      <c r="C28" s="11">
        <f t="shared" si="6"/>
        <v>476</v>
      </c>
      <c r="D28" s="19">
        <f t="shared" si="6"/>
        <v>910</v>
      </c>
      <c r="E28" s="18">
        <f t="shared" si="6"/>
        <v>1204</v>
      </c>
      <c r="F28" s="17">
        <f t="shared" si="6"/>
        <v>924</v>
      </c>
      <c r="G28" s="9">
        <f t="shared" si="6"/>
        <v>588</v>
      </c>
      <c r="I28" s="21">
        <f t="shared" ref="I28:R28" si="9">I9*14</f>
        <v>476</v>
      </c>
      <c r="J28" s="19">
        <f t="shared" si="9"/>
        <v>756</v>
      </c>
      <c r="K28" s="18">
        <f t="shared" si="9"/>
        <v>980</v>
      </c>
      <c r="L28" s="17">
        <f t="shared" si="9"/>
        <v>434</v>
      </c>
      <c r="M28" s="9">
        <f t="shared" si="9"/>
        <v>406</v>
      </c>
      <c r="N28" s="20">
        <f t="shared" si="9"/>
        <v>0</v>
      </c>
      <c r="O28" s="19">
        <f t="shared" si="9"/>
        <v>154</v>
      </c>
      <c r="P28" s="18">
        <f t="shared" si="9"/>
        <v>224</v>
      </c>
      <c r="Q28" s="17">
        <f t="shared" si="9"/>
        <v>490</v>
      </c>
      <c r="R28" s="9">
        <f t="shared" si="9"/>
        <v>182</v>
      </c>
    </row>
    <row r="29" spans="1:20" x14ac:dyDescent="0.25">
      <c r="B29" s="11" t="s">
        <v>9</v>
      </c>
      <c r="C29" s="11">
        <f t="shared" si="6"/>
        <v>336</v>
      </c>
      <c r="D29" s="19">
        <f t="shared" si="6"/>
        <v>840</v>
      </c>
      <c r="E29" s="18">
        <f t="shared" si="6"/>
        <v>1036</v>
      </c>
      <c r="F29" s="17">
        <f t="shared" si="6"/>
        <v>1064</v>
      </c>
      <c r="G29" s="9">
        <f t="shared" si="6"/>
        <v>868</v>
      </c>
      <c r="I29" s="21">
        <f t="shared" ref="I29:R29" si="10">I10*14</f>
        <v>336</v>
      </c>
      <c r="J29" s="19">
        <f t="shared" si="10"/>
        <v>616</v>
      </c>
      <c r="K29" s="18">
        <f t="shared" si="10"/>
        <v>826</v>
      </c>
      <c r="L29" s="17">
        <f t="shared" si="10"/>
        <v>798</v>
      </c>
      <c r="M29" s="9">
        <f t="shared" si="10"/>
        <v>364</v>
      </c>
      <c r="N29" s="20">
        <f t="shared" si="10"/>
        <v>0</v>
      </c>
      <c r="O29" s="19">
        <f t="shared" si="10"/>
        <v>224</v>
      </c>
      <c r="P29" s="18">
        <f t="shared" si="10"/>
        <v>210</v>
      </c>
      <c r="Q29" s="17">
        <f t="shared" si="10"/>
        <v>266</v>
      </c>
      <c r="R29" s="9">
        <f t="shared" si="10"/>
        <v>504</v>
      </c>
    </row>
    <row r="30" spans="1:20" x14ac:dyDescent="0.25">
      <c r="B30" s="11" t="s">
        <v>8</v>
      </c>
      <c r="C30" s="11">
        <f t="shared" si="6"/>
        <v>532</v>
      </c>
      <c r="D30" s="19">
        <f t="shared" si="6"/>
        <v>1386</v>
      </c>
      <c r="E30" s="18">
        <f t="shared" si="6"/>
        <v>1064</v>
      </c>
      <c r="F30" s="17">
        <f t="shared" si="6"/>
        <v>1274</v>
      </c>
      <c r="G30" s="9">
        <f t="shared" si="6"/>
        <v>672</v>
      </c>
      <c r="I30" s="21">
        <f t="shared" ref="I30:R30" si="11">I11*14</f>
        <v>532</v>
      </c>
      <c r="J30" s="19">
        <f t="shared" si="11"/>
        <v>742</v>
      </c>
      <c r="K30" s="18">
        <f t="shared" si="11"/>
        <v>910</v>
      </c>
      <c r="L30" s="17">
        <f t="shared" si="11"/>
        <v>840</v>
      </c>
      <c r="M30" s="9">
        <f t="shared" si="11"/>
        <v>350</v>
      </c>
      <c r="N30" s="20">
        <f t="shared" si="11"/>
        <v>0</v>
      </c>
      <c r="O30" s="19">
        <f t="shared" si="11"/>
        <v>644</v>
      </c>
      <c r="P30" s="18">
        <f t="shared" si="11"/>
        <v>154</v>
      </c>
      <c r="Q30" s="17">
        <f t="shared" si="11"/>
        <v>434</v>
      </c>
      <c r="R30" s="9">
        <f t="shared" si="11"/>
        <v>322</v>
      </c>
    </row>
    <row r="31" spans="1:20" x14ac:dyDescent="0.25">
      <c r="B31" s="11" t="s">
        <v>7</v>
      </c>
      <c r="C31" s="11">
        <f t="shared" si="6"/>
        <v>350</v>
      </c>
      <c r="D31" s="19">
        <f t="shared" si="6"/>
        <v>994</v>
      </c>
      <c r="E31" s="18">
        <f t="shared" si="6"/>
        <v>1428</v>
      </c>
      <c r="F31" s="17">
        <f t="shared" si="6"/>
        <v>910</v>
      </c>
      <c r="G31" s="9">
        <f t="shared" si="6"/>
        <v>1022</v>
      </c>
      <c r="I31" s="21">
        <f t="shared" ref="I31:R31" si="12">I12*14</f>
        <v>350</v>
      </c>
      <c r="J31" s="19">
        <f t="shared" si="12"/>
        <v>252</v>
      </c>
      <c r="K31" s="18">
        <f t="shared" si="12"/>
        <v>770</v>
      </c>
      <c r="L31" s="17">
        <f t="shared" si="12"/>
        <v>476</v>
      </c>
      <c r="M31" s="9">
        <f t="shared" si="12"/>
        <v>434</v>
      </c>
      <c r="N31" s="20">
        <f t="shared" si="12"/>
        <v>0</v>
      </c>
      <c r="O31" s="19">
        <f t="shared" si="12"/>
        <v>742</v>
      </c>
      <c r="P31" s="18">
        <f t="shared" si="12"/>
        <v>658</v>
      </c>
      <c r="Q31" s="17">
        <f t="shared" si="12"/>
        <v>434</v>
      </c>
      <c r="R31" s="9">
        <f t="shared" si="12"/>
        <v>588</v>
      </c>
    </row>
    <row r="32" spans="1:20" x14ac:dyDescent="0.25">
      <c r="B32" s="11" t="s">
        <v>6</v>
      </c>
      <c r="C32" s="11">
        <f t="shared" si="6"/>
        <v>490</v>
      </c>
      <c r="D32" s="19">
        <f t="shared" si="6"/>
        <v>938</v>
      </c>
      <c r="E32" s="18">
        <f t="shared" si="6"/>
        <v>1190</v>
      </c>
      <c r="F32" s="17">
        <f t="shared" si="6"/>
        <v>924</v>
      </c>
      <c r="G32" s="9">
        <f t="shared" si="6"/>
        <v>770</v>
      </c>
      <c r="I32" s="21">
        <f t="shared" ref="I32:R32" si="13">I13*14</f>
        <v>490</v>
      </c>
      <c r="J32" s="19">
        <f t="shared" si="13"/>
        <v>602</v>
      </c>
      <c r="K32" s="18">
        <f t="shared" si="13"/>
        <v>546</v>
      </c>
      <c r="L32" s="17">
        <f t="shared" si="13"/>
        <v>616</v>
      </c>
      <c r="M32" s="9">
        <f t="shared" si="13"/>
        <v>336</v>
      </c>
      <c r="N32" s="20">
        <f t="shared" si="13"/>
        <v>0</v>
      </c>
      <c r="O32" s="19">
        <f t="shared" si="13"/>
        <v>336</v>
      </c>
      <c r="P32" s="18">
        <f t="shared" si="13"/>
        <v>644</v>
      </c>
      <c r="Q32" s="17">
        <f t="shared" si="13"/>
        <v>308</v>
      </c>
      <c r="R32" s="9">
        <f t="shared" si="13"/>
        <v>434</v>
      </c>
    </row>
    <row r="33" spans="1:18" x14ac:dyDescent="0.25">
      <c r="B33" s="11" t="s">
        <v>5</v>
      </c>
      <c r="C33" s="11">
        <f t="shared" si="6"/>
        <v>518</v>
      </c>
      <c r="D33" s="19">
        <f t="shared" si="6"/>
        <v>2282</v>
      </c>
      <c r="E33" s="18">
        <f t="shared" si="6"/>
        <v>1512</v>
      </c>
      <c r="F33" s="17">
        <f t="shared" si="6"/>
        <v>714</v>
      </c>
      <c r="G33" s="9">
        <f t="shared" si="6"/>
        <v>0</v>
      </c>
      <c r="I33" s="21">
        <f t="shared" ref="I33:R33" si="14">I14*14</f>
        <v>364</v>
      </c>
      <c r="J33" s="19">
        <f t="shared" si="14"/>
        <v>1288</v>
      </c>
      <c r="K33" s="18">
        <f t="shared" si="14"/>
        <v>770</v>
      </c>
      <c r="L33" s="17">
        <f t="shared" si="14"/>
        <v>280</v>
      </c>
      <c r="M33" s="9">
        <f t="shared" si="14"/>
        <v>0</v>
      </c>
      <c r="N33" s="20">
        <f t="shared" si="14"/>
        <v>154</v>
      </c>
      <c r="O33" s="19">
        <f t="shared" si="14"/>
        <v>994</v>
      </c>
      <c r="P33" s="18">
        <f t="shared" si="14"/>
        <v>742</v>
      </c>
      <c r="Q33" s="17">
        <f t="shared" si="14"/>
        <v>434</v>
      </c>
      <c r="R33" s="9">
        <f t="shared" si="14"/>
        <v>0</v>
      </c>
    </row>
    <row r="34" spans="1:18" x14ac:dyDescent="0.25">
      <c r="B34" s="11" t="s">
        <v>4</v>
      </c>
      <c r="C34" s="11">
        <f t="shared" si="6"/>
        <v>714</v>
      </c>
      <c r="D34" s="19">
        <f t="shared" si="6"/>
        <v>1456</v>
      </c>
      <c r="E34" s="18">
        <f t="shared" si="6"/>
        <v>1372</v>
      </c>
      <c r="F34" s="17">
        <f t="shared" si="6"/>
        <v>868</v>
      </c>
      <c r="G34" s="9">
        <f t="shared" si="6"/>
        <v>0</v>
      </c>
      <c r="I34" s="21">
        <f t="shared" ref="I34:R34" si="15">I15*14</f>
        <v>532</v>
      </c>
      <c r="J34" s="19">
        <f t="shared" si="15"/>
        <v>630</v>
      </c>
      <c r="K34" s="18">
        <f t="shared" si="15"/>
        <v>896</v>
      </c>
      <c r="L34" s="17">
        <f t="shared" si="15"/>
        <v>434</v>
      </c>
      <c r="M34" s="9">
        <f t="shared" si="15"/>
        <v>0</v>
      </c>
      <c r="N34" s="20">
        <f t="shared" si="15"/>
        <v>182</v>
      </c>
      <c r="O34" s="19">
        <f t="shared" si="15"/>
        <v>826</v>
      </c>
      <c r="P34" s="18">
        <f t="shared" si="15"/>
        <v>476</v>
      </c>
      <c r="Q34" s="17">
        <f t="shared" si="15"/>
        <v>434</v>
      </c>
      <c r="R34" s="9">
        <f t="shared" si="15"/>
        <v>0</v>
      </c>
    </row>
    <row r="35" spans="1:18" x14ac:dyDescent="0.25">
      <c r="B35" s="11" t="s">
        <v>3</v>
      </c>
      <c r="C35" s="11">
        <f t="shared" si="6"/>
        <v>364</v>
      </c>
      <c r="D35" s="19">
        <f t="shared" si="6"/>
        <v>1050</v>
      </c>
      <c r="E35" s="18">
        <f t="shared" si="6"/>
        <v>1134</v>
      </c>
      <c r="F35" s="17">
        <f t="shared" si="6"/>
        <v>616</v>
      </c>
      <c r="G35" s="9">
        <f t="shared" si="6"/>
        <v>0</v>
      </c>
      <c r="I35" s="21">
        <f t="shared" ref="I35:R35" si="16">I16*14</f>
        <v>140</v>
      </c>
      <c r="J35" s="19">
        <f t="shared" si="16"/>
        <v>518</v>
      </c>
      <c r="K35" s="18">
        <f t="shared" si="16"/>
        <v>658</v>
      </c>
      <c r="L35" s="17">
        <f t="shared" si="16"/>
        <v>434</v>
      </c>
      <c r="M35" s="9">
        <f t="shared" si="16"/>
        <v>0</v>
      </c>
      <c r="N35" s="20">
        <f t="shared" si="16"/>
        <v>224</v>
      </c>
      <c r="O35" s="19">
        <f t="shared" si="16"/>
        <v>532</v>
      </c>
      <c r="P35" s="18">
        <f t="shared" si="16"/>
        <v>476</v>
      </c>
      <c r="Q35" s="17">
        <f t="shared" si="16"/>
        <v>182</v>
      </c>
      <c r="R35" s="9">
        <f t="shared" si="16"/>
        <v>0</v>
      </c>
    </row>
    <row r="36" spans="1:18" x14ac:dyDescent="0.25">
      <c r="B36" s="11" t="s">
        <v>2</v>
      </c>
      <c r="C36" s="11">
        <f t="shared" si="6"/>
        <v>672</v>
      </c>
      <c r="D36" s="19">
        <f t="shared" si="6"/>
        <v>1022</v>
      </c>
      <c r="E36" s="18">
        <f t="shared" si="6"/>
        <v>882</v>
      </c>
      <c r="F36" s="17">
        <f t="shared" si="6"/>
        <v>616</v>
      </c>
      <c r="G36" s="9">
        <f t="shared" si="6"/>
        <v>0</v>
      </c>
      <c r="I36" s="21">
        <f t="shared" ref="I36:R36" si="17">I17*14</f>
        <v>476</v>
      </c>
      <c r="J36" s="19">
        <f t="shared" si="17"/>
        <v>658</v>
      </c>
      <c r="K36" s="18">
        <f t="shared" si="17"/>
        <v>504</v>
      </c>
      <c r="L36" s="17">
        <f t="shared" si="17"/>
        <v>476</v>
      </c>
      <c r="M36" s="9">
        <f t="shared" si="17"/>
        <v>0</v>
      </c>
      <c r="N36" s="20">
        <f t="shared" si="17"/>
        <v>196</v>
      </c>
      <c r="O36" s="19">
        <f t="shared" si="17"/>
        <v>364</v>
      </c>
      <c r="P36" s="18">
        <f t="shared" si="17"/>
        <v>378</v>
      </c>
      <c r="Q36" s="17">
        <f t="shared" si="17"/>
        <v>140</v>
      </c>
      <c r="R36" s="9">
        <f t="shared" si="17"/>
        <v>0</v>
      </c>
    </row>
    <row r="37" spans="1:18" x14ac:dyDescent="0.25">
      <c r="B37" s="11" t="s">
        <v>1</v>
      </c>
      <c r="C37" s="11">
        <f t="shared" si="6"/>
        <v>798</v>
      </c>
      <c r="D37" s="19">
        <f t="shared" si="6"/>
        <v>1092</v>
      </c>
      <c r="E37" s="18">
        <f t="shared" si="6"/>
        <v>1092</v>
      </c>
      <c r="F37" s="17">
        <f t="shared" si="6"/>
        <v>658</v>
      </c>
      <c r="G37" s="9">
        <f t="shared" si="6"/>
        <v>0</v>
      </c>
      <c r="I37" s="21">
        <f t="shared" ref="I37:R37" si="18">I18*14</f>
        <v>546</v>
      </c>
      <c r="J37" s="19">
        <f t="shared" si="18"/>
        <v>812</v>
      </c>
      <c r="K37" s="18">
        <f t="shared" si="18"/>
        <v>630</v>
      </c>
      <c r="L37" s="17">
        <f t="shared" si="18"/>
        <v>490</v>
      </c>
      <c r="M37" s="9">
        <f t="shared" si="18"/>
        <v>0</v>
      </c>
      <c r="N37" s="20">
        <f t="shared" si="18"/>
        <v>252</v>
      </c>
      <c r="O37" s="19">
        <f t="shared" si="18"/>
        <v>280</v>
      </c>
      <c r="P37" s="18">
        <f t="shared" si="18"/>
        <v>462</v>
      </c>
      <c r="Q37" s="17">
        <f t="shared" si="18"/>
        <v>168</v>
      </c>
      <c r="R37" s="9">
        <f t="shared" si="18"/>
        <v>0</v>
      </c>
    </row>
    <row r="38" spans="1:18" x14ac:dyDescent="0.25">
      <c r="B38" s="3" t="s">
        <v>0</v>
      </c>
      <c r="C38" s="16">
        <f>SUM(C26:C37)</f>
        <v>5852</v>
      </c>
      <c r="D38" s="16">
        <f>SUM(D26:D37)</f>
        <v>13188</v>
      </c>
      <c r="E38" s="16">
        <f>SUM(E26:E37)</f>
        <v>13482</v>
      </c>
      <c r="F38" s="16">
        <f>SUM(F26:F37)</f>
        <v>10388</v>
      </c>
      <c r="G38" s="16">
        <f>SUM(G26:G37)</f>
        <v>5432</v>
      </c>
      <c r="I38" s="16">
        <f t="shared" ref="I38:R38" si="19">SUM(I26:I37)</f>
        <v>4844</v>
      </c>
      <c r="J38" s="16">
        <f t="shared" si="19"/>
        <v>7728</v>
      </c>
      <c r="K38" s="16">
        <f t="shared" si="19"/>
        <v>8764</v>
      </c>
      <c r="L38" s="16">
        <f t="shared" si="19"/>
        <v>6314</v>
      </c>
      <c r="M38" s="16">
        <f t="shared" si="19"/>
        <v>2688</v>
      </c>
      <c r="N38" s="16">
        <f t="shared" si="19"/>
        <v>1008</v>
      </c>
      <c r="O38" s="16">
        <f t="shared" si="19"/>
        <v>5460</v>
      </c>
      <c r="P38" s="16">
        <f t="shared" si="19"/>
        <v>4718</v>
      </c>
      <c r="Q38" s="16">
        <f t="shared" si="19"/>
        <v>4074</v>
      </c>
      <c r="R38" s="16">
        <f t="shared" si="19"/>
        <v>2744</v>
      </c>
    </row>
    <row r="40" spans="1:18" x14ac:dyDescent="0.25">
      <c r="A40" s="15" t="s">
        <v>19</v>
      </c>
    </row>
    <row r="42" spans="1:18" x14ac:dyDescent="0.25">
      <c r="B42" s="14"/>
      <c r="C42" s="32" t="s">
        <v>18</v>
      </c>
      <c r="D42" s="32"/>
      <c r="E42" s="32"/>
      <c r="F42" s="32"/>
      <c r="G42" s="32"/>
      <c r="I42" s="32" t="s">
        <v>17</v>
      </c>
      <c r="J42" s="32"/>
      <c r="K42" s="32"/>
      <c r="L42" s="32"/>
      <c r="M42" s="32"/>
      <c r="N42" s="32" t="s">
        <v>16</v>
      </c>
      <c r="O42" s="32"/>
      <c r="P42" s="32"/>
      <c r="Q42" s="32"/>
      <c r="R42" s="32"/>
    </row>
    <row r="43" spans="1:18" x14ac:dyDescent="0.25">
      <c r="B43" s="33" t="s">
        <v>15</v>
      </c>
      <c r="C43" s="13">
        <v>2022</v>
      </c>
      <c r="D43" s="13">
        <v>2023</v>
      </c>
      <c r="E43" s="13">
        <v>2024</v>
      </c>
      <c r="F43" s="13">
        <v>2025</v>
      </c>
      <c r="G43" s="13">
        <v>2026</v>
      </c>
      <c r="I43" s="13">
        <v>2022</v>
      </c>
      <c r="J43" s="13">
        <v>2023</v>
      </c>
      <c r="K43" s="13">
        <v>2024</v>
      </c>
      <c r="L43" s="13">
        <v>2025</v>
      </c>
      <c r="M43" s="13">
        <v>2026</v>
      </c>
      <c r="N43" s="13">
        <v>2022</v>
      </c>
      <c r="O43" s="13">
        <v>2023</v>
      </c>
      <c r="P43" s="13">
        <v>2024</v>
      </c>
      <c r="Q43" s="13">
        <v>2025</v>
      </c>
      <c r="R43" s="13">
        <v>2026</v>
      </c>
    </row>
    <row r="44" spans="1:18" ht="18" x14ac:dyDescent="0.25">
      <c r="B44" s="33"/>
      <c r="C44" s="12" t="s">
        <v>13</v>
      </c>
      <c r="D44" s="12" t="s">
        <v>13</v>
      </c>
      <c r="E44" s="12" t="s">
        <v>13</v>
      </c>
      <c r="F44" s="12" t="s">
        <v>13</v>
      </c>
      <c r="G44" s="12" t="s">
        <v>13</v>
      </c>
      <c r="I44" s="12" t="s">
        <v>13</v>
      </c>
      <c r="J44" s="12" t="s">
        <v>13</v>
      </c>
      <c r="K44" s="12" t="s">
        <v>13</v>
      </c>
      <c r="L44" s="12" t="s">
        <v>13</v>
      </c>
      <c r="M44" s="12" t="s">
        <v>13</v>
      </c>
      <c r="N44" s="12" t="s">
        <v>14</v>
      </c>
      <c r="O44" s="12" t="s">
        <v>13</v>
      </c>
      <c r="P44" s="12" t="s">
        <v>13</v>
      </c>
      <c r="Q44" s="12" t="s">
        <v>13</v>
      </c>
      <c r="R44" s="12" t="s">
        <v>13</v>
      </c>
    </row>
    <row r="45" spans="1:18" x14ac:dyDescent="0.25">
      <c r="B45" s="11" t="s">
        <v>12</v>
      </c>
      <c r="C45" s="10">
        <f t="shared" ref="C45:C56" si="20">C26*1.49/1000</f>
        <v>0.43806</v>
      </c>
      <c r="D45" s="7">
        <f t="shared" ref="D45:G56" si="21">ROUND(D26*1.49/1000,3)</f>
        <v>0.79300000000000004</v>
      </c>
      <c r="E45" s="6">
        <f t="shared" si="21"/>
        <v>1.21</v>
      </c>
      <c r="F45" s="5">
        <f t="shared" si="21"/>
        <v>1.272</v>
      </c>
      <c r="G45" s="4">
        <f t="shared" si="21"/>
        <v>1.2310000000000001</v>
      </c>
      <c r="I45" s="8">
        <f t="shared" ref="I45:R45" si="22">I26*1.49/1000</f>
        <v>0.43806</v>
      </c>
      <c r="J45" s="7">
        <f t="shared" si="22"/>
        <v>0.52149999999999996</v>
      </c>
      <c r="K45" s="6">
        <f t="shared" si="22"/>
        <v>0.77182000000000006</v>
      </c>
      <c r="L45" s="5">
        <f t="shared" si="22"/>
        <v>0.89698</v>
      </c>
      <c r="M45" s="4">
        <f t="shared" si="22"/>
        <v>0.58408000000000004</v>
      </c>
      <c r="N45" s="5">
        <f t="shared" si="22"/>
        <v>0</v>
      </c>
      <c r="O45" s="7">
        <f t="shared" si="22"/>
        <v>0.27118000000000003</v>
      </c>
      <c r="P45" s="6">
        <f t="shared" si="22"/>
        <v>0.43806</v>
      </c>
      <c r="Q45" s="5">
        <f t="shared" si="22"/>
        <v>0.37548000000000004</v>
      </c>
      <c r="R45" s="4">
        <f t="shared" si="22"/>
        <v>0.64666000000000001</v>
      </c>
    </row>
    <row r="46" spans="1:18" x14ac:dyDescent="0.25">
      <c r="B46" s="11" t="s">
        <v>11</v>
      </c>
      <c r="C46" s="10">
        <f t="shared" si="20"/>
        <v>0.45891999999999999</v>
      </c>
      <c r="D46" s="7">
        <f t="shared" si="21"/>
        <v>1.022</v>
      </c>
      <c r="E46" s="6">
        <f t="shared" si="21"/>
        <v>1.1259999999999999</v>
      </c>
      <c r="F46" s="5">
        <f t="shared" si="21"/>
        <v>1.4390000000000001</v>
      </c>
      <c r="G46" s="4">
        <f t="shared" si="21"/>
        <v>1.022</v>
      </c>
      <c r="I46" s="8">
        <f t="shared" ref="I46:R46" si="23">I27*1.49/1000</f>
        <v>0.45891999999999999</v>
      </c>
      <c r="J46" s="7">
        <f t="shared" si="23"/>
        <v>0.75096000000000007</v>
      </c>
      <c r="K46" s="6">
        <f t="shared" si="23"/>
        <v>1.1264400000000001</v>
      </c>
      <c r="L46" s="5">
        <f t="shared" si="23"/>
        <v>0.64666000000000001</v>
      </c>
      <c r="M46" s="4">
        <f t="shared" si="23"/>
        <v>0.60493999999999992</v>
      </c>
      <c r="N46" s="5">
        <f t="shared" si="23"/>
        <v>0</v>
      </c>
      <c r="O46" s="7">
        <f t="shared" si="23"/>
        <v>0.27118000000000003</v>
      </c>
      <c r="P46" s="6">
        <f t="shared" si="23"/>
        <v>0</v>
      </c>
      <c r="Q46" s="5">
        <f t="shared" si="23"/>
        <v>0.79267999999999994</v>
      </c>
      <c r="R46" s="4">
        <f t="shared" si="23"/>
        <v>0.41720000000000002</v>
      </c>
    </row>
    <row r="47" spans="1:18" x14ac:dyDescent="0.25">
      <c r="B47" s="11" t="s">
        <v>10</v>
      </c>
      <c r="C47" s="10">
        <f t="shared" si="20"/>
        <v>0.70923999999999998</v>
      </c>
      <c r="D47" s="7">
        <f t="shared" si="21"/>
        <v>1.3560000000000001</v>
      </c>
      <c r="E47" s="6">
        <f t="shared" si="21"/>
        <v>1.794</v>
      </c>
      <c r="F47" s="5">
        <f t="shared" si="21"/>
        <v>1.377</v>
      </c>
      <c r="G47" s="9">
        <f t="shared" si="21"/>
        <v>0.876</v>
      </c>
      <c r="I47" s="8">
        <f t="shared" ref="I47:R47" si="24">I28*1.49/1000</f>
        <v>0.70923999999999998</v>
      </c>
      <c r="J47" s="7">
        <f t="shared" si="24"/>
        <v>1.1264400000000001</v>
      </c>
      <c r="K47" s="6">
        <f t="shared" si="24"/>
        <v>1.4601999999999999</v>
      </c>
      <c r="L47" s="5">
        <f t="shared" si="24"/>
        <v>0.64666000000000001</v>
      </c>
      <c r="M47" s="4">
        <f t="shared" si="24"/>
        <v>0.60493999999999992</v>
      </c>
      <c r="N47" s="5">
        <f t="shared" si="24"/>
        <v>0</v>
      </c>
      <c r="O47" s="7">
        <f t="shared" si="24"/>
        <v>0.22946</v>
      </c>
      <c r="P47" s="6">
        <f t="shared" si="24"/>
        <v>0.33376</v>
      </c>
      <c r="Q47" s="5">
        <f t="shared" si="24"/>
        <v>0.73009999999999997</v>
      </c>
      <c r="R47" s="4">
        <f t="shared" si="24"/>
        <v>0.27118000000000003</v>
      </c>
    </row>
    <row r="48" spans="1:18" x14ac:dyDescent="0.25">
      <c r="B48" s="11" t="s">
        <v>9</v>
      </c>
      <c r="C48" s="10">
        <f t="shared" si="20"/>
        <v>0.50063999999999997</v>
      </c>
      <c r="D48" s="7">
        <f t="shared" si="21"/>
        <v>1.252</v>
      </c>
      <c r="E48" s="6">
        <f t="shared" si="21"/>
        <v>1.544</v>
      </c>
      <c r="F48" s="5">
        <f t="shared" si="21"/>
        <v>1.585</v>
      </c>
      <c r="G48" s="9">
        <f t="shared" si="21"/>
        <v>1.2929999999999999</v>
      </c>
      <c r="I48" s="8">
        <f t="shared" ref="I48:R48" si="25">I29*1.49/1000</f>
        <v>0.50063999999999997</v>
      </c>
      <c r="J48" s="7">
        <f t="shared" si="25"/>
        <v>0.91783999999999999</v>
      </c>
      <c r="K48" s="6">
        <f t="shared" si="25"/>
        <v>1.2307399999999999</v>
      </c>
      <c r="L48" s="5">
        <f t="shared" si="25"/>
        <v>1.18902</v>
      </c>
      <c r="M48" s="4">
        <f t="shared" si="25"/>
        <v>0.54236000000000006</v>
      </c>
      <c r="N48" s="5">
        <f t="shared" si="25"/>
        <v>0</v>
      </c>
      <c r="O48" s="7">
        <f t="shared" si="25"/>
        <v>0.33376</v>
      </c>
      <c r="P48" s="6">
        <f t="shared" si="25"/>
        <v>0.31289999999999996</v>
      </c>
      <c r="Q48" s="5">
        <f t="shared" si="25"/>
        <v>0.39633999999999997</v>
      </c>
      <c r="R48" s="4">
        <f t="shared" si="25"/>
        <v>0.75096000000000007</v>
      </c>
    </row>
    <row r="49" spans="2:18" x14ac:dyDescent="0.25">
      <c r="B49" s="11" t="s">
        <v>8</v>
      </c>
      <c r="C49" s="10">
        <f t="shared" si="20"/>
        <v>0.79267999999999994</v>
      </c>
      <c r="D49" s="7">
        <f t="shared" si="21"/>
        <v>2.0649999999999999</v>
      </c>
      <c r="E49" s="6">
        <f t="shared" si="21"/>
        <v>1.585</v>
      </c>
      <c r="F49" s="5">
        <f t="shared" si="21"/>
        <v>1.8979999999999999</v>
      </c>
      <c r="G49" s="9">
        <f t="shared" si="21"/>
        <v>1.0009999999999999</v>
      </c>
      <c r="I49" s="8">
        <f t="shared" ref="I49:R49" si="26">I30*1.49/1000</f>
        <v>0.79267999999999994</v>
      </c>
      <c r="J49" s="7">
        <f t="shared" si="26"/>
        <v>1.10558</v>
      </c>
      <c r="K49" s="6">
        <f t="shared" si="26"/>
        <v>1.3559000000000001</v>
      </c>
      <c r="L49" s="5">
        <f t="shared" si="26"/>
        <v>1.2515999999999998</v>
      </c>
      <c r="M49" s="4">
        <f t="shared" si="26"/>
        <v>0.52149999999999996</v>
      </c>
      <c r="N49" s="5">
        <f t="shared" si="26"/>
        <v>0</v>
      </c>
      <c r="O49" s="7">
        <f t="shared" si="26"/>
        <v>0.95955999999999997</v>
      </c>
      <c r="P49" s="6">
        <f t="shared" si="26"/>
        <v>0.22946</v>
      </c>
      <c r="Q49" s="5">
        <f t="shared" si="26"/>
        <v>0.64666000000000001</v>
      </c>
      <c r="R49" s="4">
        <f t="shared" si="26"/>
        <v>0.47977999999999998</v>
      </c>
    </row>
    <row r="50" spans="2:18" x14ac:dyDescent="0.25">
      <c r="B50" s="11" t="s">
        <v>7</v>
      </c>
      <c r="C50" s="10">
        <f t="shared" si="20"/>
        <v>0.52149999999999996</v>
      </c>
      <c r="D50" s="7">
        <f t="shared" si="21"/>
        <v>1.4810000000000001</v>
      </c>
      <c r="E50" s="6">
        <f t="shared" si="21"/>
        <v>2.1280000000000001</v>
      </c>
      <c r="F50" s="5">
        <f t="shared" si="21"/>
        <v>1.3560000000000001</v>
      </c>
      <c r="G50" s="9">
        <f t="shared" si="21"/>
        <v>1.5229999999999999</v>
      </c>
      <c r="I50" s="8">
        <f t="shared" ref="I50:R50" si="27">I31*1.49/1000</f>
        <v>0.52149999999999996</v>
      </c>
      <c r="J50" s="7">
        <f t="shared" si="27"/>
        <v>0.37548000000000004</v>
      </c>
      <c r="K50" s="6">
        <f t="shared" si="27"/>
        <v>1.1473</v>
      </c>
      <c r="L50" s="5">
        <f t="shared" si="27"/>
        <v>0.70923999999999998</v>
      </c>
      <c r="M50" s="4">
        <f t="shared" si="27"/>
        <v>0.64666000000000001</v>
      </c>
      <c r="N50" s="5">
        <f t="shared" si="27"/>
        <v>0</v>
      </c>
      <c r="O50" s="7">
        <f t="shared" si="27"/>
        <v>1.10558</v>
      </c>
      <c r="P50" s="6">
        <f t="shared" si="27"/>
        <v>0.98041999999999996</v>
      </c>
      <c r="Q50" s="5">
        <f t="shared" si="27"/>
        <v>0.64666000000000001</v>
      </c>
      <c r="R50" s="4">
        <f t="shared" si="27"/>
        <v>0.87612000000000001</v>
      </c>
    </row>
    <row r="51" spans="2:18" x14ac:dyDescent="0.25">
      <c r="B51" s="11" t="s">
        <v>6</v>
      </c>
      <c r="C51" s="10">
        <f t="shared" si="20"/>
        <v>0.73009999999999997</v>
      </c>
      <c r="D51" s="7">
        <f t="shared" si="21"/>
        <v>1.3979999999999999</v>
      </c>
      <c r="E51" s="6">
        <f t="shared" si="21"/>
        <v>1.7729999999999999</v>
      </c>
      <c r="F51" s="5">
        <f t="shared" si="21"/>
        <v>1.377</v>
      </c>
      <c r="G51" s="9">
        <f t="shared" si="21"/>
        <v>1.147</v>
      </c>
      <c r="I51" s="8">
        <f t="shared" ref="I51:R51" si="28">I32*1.49/1000</f>
        <v>0.73009999999999997</v>
      </c>
      <c r="J51" s="7">
        <f t="shared" si="28"/>
        <v>0.89698</v>
      </c>
      <c r="K51" s="6">
        <f t="shared" si="28"/>
        <v>0.81353999999999993</v>
      </c>
      <c r="L51" s="5">
        <f t="shared" si="28"/>
        <v>0.91783999999999999</v>
      </c>
      <c r="M51" s="4">
        <f t="shared" si="28"/>
        <v>0.50063999999999997</v>
      </c>
      <c r="N51" s="5">
        <f t="shared" si="28"/>
        <v>0</v>
      </c>
      <c r="O51" s="7">
        <f t="shared" si="28"/>
        <v>0.50063999999999997</v>
      </c>
      <c r="P51" s="6">
        <f t="shared" si="28"/>
        <v>0.95955999999999997</v>
      </c>
      <c r="Q51" s="5">
        <f t="shared" si="28"/>
        <v>0.45891999999999999</v>
      </c>
      <c r="R51" s="4">
        <f t="shared" si="28"/>
        <v>0.64666000000000001</v>
      </c>
    </row>
    <row r="52" spans="2:18" x14ac:dyDescent="0.25">
      <c r="B52" s="11" t="s">
        <v>5</v>
      </c>
      <c r="C52" s="10">
        <f t="shared" si="20"/>
        <v>0.77182000000000006</v>
      </c>
      <c r="D52" s="7">
        <f t="shared" si="21"/>
        <v>3.4</v>
      </c>
      <c r="E52" s="6">
        <f t="shared" si="21"/>
        <v>2.2530000000000001</v>
      </c>
      <c r="F52" s="5">
        <f t="shared" si="21"/>
        <v>1.0640000000000001</v>
      </c>
      <c r="G52" s="9">
        <f t="shared" si="21"/>
        <v>0</v>
      </c>
      <c r="I52" s="8">
        <f t="shared" ref="I52:R52" si="29">I33*1.49/1000</f>
        <v>0.54236000000000006</v>
      </c>
      <c r="J52" s="7">
        <f t="shared" si="29"/>
        <v>1.9191199999999999</v>
      </c>
      <c r="K52" s="6">
        <f t="shared" si="29"/>
        <v>1.1473</v>
      </c>
      <c r="L52" s="5">
        <f t="shared" si="29"/>
        <v>0.41720000000000002</v>
      </c>
      <c r="M52" s="4">
        <f t="shared" si="29"/>
        <v>0</v>
      </c>
      <c r="N52" s="5">
        <f t="shared" si="29"/>
        <v>0.22946</v>
      </c>
      <c r="O52" s="7">
        <f t="shared" si="29"/>
        <v>1.48106</v>
      </c>
      <c r="P52" s="6">
        <f t="shared" si="29"/>
        <v>1.10558</v>
      </c>
      <c r="Q52" s="5">
        <f t="shared" si="29"/>
        <v>0.64666000000000001</v>
      </c>
      <c r="R52" s="4">
        <f t="shared" si="29"/>
        <v>0</v>
      </c>
    </row>
    <row r="53" spans="2:18" x14ac:dyDescent="0.25">
      <c r="B53" s="11" t="s">
        <v>4</v>
      </c>
      <c r="C53" s="10">
        <f t="shared" si="20"/>
        <v>1.0638599999999998</v>
      </c>
      <c r="D53" s="7">
        <f t="shared" si="21"/>
        <v>2.169</v>
      </c>
      <c r="E53" s="6">
        <f t="shared" si="21"/>
        <v>2.044</v>
      </c>
      <c r="F53" s="5">
        <f t="shared" si="21"/>
        <v>1.2929999999999999</v>
      </c>
      <c r="G53" s="9">
        <f t="shared" si="21"/>
        <v>0</v>
      </c>
      <c r="I53" s="8">
        <f t="shared" ref="I53:R53" si="30">I34*1.49/1000</f>
        <v>0.79267999999999994</v>
      </c>
      <c r="J53" s="7">
        <f t="shared" si="30"/>
        <v>0.93870000000000009</v>
      </c>
      <c r="K53" s="6">
        <f t="shared" si="30"/>
        <v>1.33504</v>
      </c>
      <c r="L53" s="5">
        <f t="shared" si="30"/>
        <v>0.64666000000000001</v>
      </c>
      <c r="M53" s="4">
        <f t="shared" si="30"/>
        <v>0</v>
      </c>
      <c r="N53" s="5">
        <f t="shared" si="30"/>
        <v>0.27118000000000003</v>
      </c>
      <c r="O53" s="7">
        <f t="shared" si="30"/>
        <v>1.2307399999999999</v>
      </c>
      <c r="P53" s="6">
        <f t="shared" si="30"/>
        <v>0.70923999999999998</v>
      </c>
      <c r="Q53" s="5">
        <f t="shared" si="30"/>
        <v>0.64666000000000001</v>
      </c>
      <c r="R53" s="4">
        <f t="shared" si="30"/>
        <v>0</v>
      </c>
    </row>
    <row r="54" spans="2:18" x14ac:dyDescent="0.25">
      <c r="B54" s="11" t="s">
        <v>3</v>
      </c>
      <c r="C54" s="10">
        <f t="shared" si="20"/>
        <v>0.54236000000000006</v>
      </c>
      <c r="D54" s="7">
        <f t="shared" si="21"/>
        <v>1.5649999999999999</v>
      </c>
      <c r="E54" s="6">
        <f t="shared" si="21"/>
        <v>1.69</v>
      </c>
      <c r="F54" s="5">
        <f t="shared" si="21"/>
        <v>0.91800000000000004</v>
      </c>
      <c r="G54" s="9">
        <f t="shared" si="21"/>
        <v>0</v>
      </c>
      <c r="I54" s="8">
        <f t="shared" ref="I54:R54" si="31">I35*1.49/1000</f>
        <v>0.20860000000000001</v>
      </c>
      <c r="J54" s="7">
        <f t="shared" si="31"/>
        <v>0.77182000000000006</v>
      </c>
      <c r="K54" s="6">
        <f t="shared" si="31"/>
        <v>0.98041999999999996</v>
      </c>
      <c r="L54" s="5">
        <f t="shared" si="31"/>
        <v>0.64666000000000001</v>
      </c>
      <c r="M54" s="4">
        <f t="shared" si="31"/>
        <v>0</v>
      </c>
      <c r="N54" s="5">
        <f t="shared" si="31"/>
        <v>0.33376</v>
      </c>
      <c r="O54" s="7">
        <f t="shared" si="31"/>
        <v>0.79267999999999994</v>
      </c>
      <c r="P54" s="6">
        <f t="shared" si="31"/>
        <v>0.70923999999999998</v>
      </c>
      <c r="Q54" s="5">
        <f t="shared" si="31"/>
        <v>0.27118000000000003</v>
      </c>
      <c r="R54" s="4">
        <f t="shared" si="31"/>
        <v>0</v>
      </c>
    </row>
    <row r="55" spans="2:18" x14ac:dyDescent="0.25">
      <c r="B55" s="11" t="s">
        <v>2</v>
      </c>
      <c r="C55" s="10">
        <f t="shared" si="20"/>
        <v>1.0012799999999999</v>
      </c>
      <c r="D55" s="7">
        <f t="shared" si="21"/>
        <v>1.5229999999999999</v>
      </c>
      <c r="E55" s="6">
        <f t="shared" si="21"/>
        <v>1.3140000000000001</v>
      </c>
      <c r="F55" s="5">
        <f t="shared" si="21"/>
        <v>0.91800000000000004</v>
      </c>
      <c r="G55" s="9">
        <f t="shared" si="21"/>
        <v>0</v>
      </c>
      <c r="I55" s="8">
        <f t="shared" ref="I55:R55" si="32">I36*1.49/1000</f>
        <v>0.70923999999999998</v>
      </c>
      <c r="J55" s="7">
        <f t="shared" si="32"/>
        <v>0.98041999999999996</v>
      </c>
      <c r="K55" s="6">
        <f t="shared" si="32"/>
        <v>0.75096000000000007</v>
      </c>
      <c r="L55" s="5">
        <f t="shared" si="32"/>
        <v>0.70923999999999998</v>
      </c>
      <c r="M55" s="4">
        <f t="shared" si="32"/>
        <v>0</v>
      </c>
      <c r="N55" s="5">
        <f t="shared" si="32"/>
        <v>0.29204000000000002</v>
      </c>
      <c r="O55" s="7">
        <f t="shared" si="32"/>
        <v>0.54236000000000006</v>
      </c>
      <c r="P55" s="6">
        <f t="shared" si="32"/>
        <v>0.56322000000000005</v>
      </c>
      <c r="Q55" s="5">
        <f t="shared" si="32"/>
        <v>0.20860000000000001</v>
      </c>
      <c r="R55" s="4">
        <f t="shared" si="32"/>
        <v>0</v>
      </c>
    </row>
    <row r="56" spans="2:18" x14ac:dyDescent="0.25">
      <c r="B56" s="11" t="s">
        <v>1</v>
      </c>
      <c r="C56" s="10">
        <f t="shared" si="20"/>
        <v>1.18902</v>
      </c>
      <c r="D56" s="7">
        <f t="shared" si="21"/>
        <v>1.627</v>
      </c>
      <c r="E56" s="6">
        <f t="shared" si="21"/>
        <v>1.627</v>
      </c>
      <c r="F56" s="5">
        <f t="shared" si="21"/>
        <v>0.98</v>
      </c>
      <c r="G56" s="9">
        <f t="shared" si="21"/>
        <v>0</v>
      </c>
      <c r="I56" s="8">
        <f t="shared" ref="I56:R56" si="33">I37*1.49/1000</f>
        <v>0.81353999999999993</v>
      </c>
      <c r="J56" s="7">
        <f t="shared" si="33"/>
        <v>1.2098799999999998</v>
      </c>
      <c r="K56" s="6">
        <f t="shared" si="33"/>
        <v>0.93870000000000009</v>
      </c>
      <c r="L56" s="5">
        <f t="shared" si="33"/>
        <v>0.73009999999999997</v>
      </c>
      <c r="M56" s="4">
        <f t="shared" si="33"/>
        <v>0</v>
      </c>
      <c r="N56" s="5">
        <f t="shared" si="33"/>
        <v>0.37548000000000004</v>
      </c>
      <c r="O56" s="7">
        <f t="shared" si="33"/>
        <v>0.41720000000000002</v>
      </c>
      <c r="P56" s="6">
        <f t="shared" si="33"/>
        <v>0.68837999999999999</v>
      </c>
      <c r="Q56" s="5">
        <f t="shared" si="33"/>
        <v>0.25031999999999999</v>
      </c>
      <c r="R56" s="4">
        <f t="shared" si="33"/>
        <v>0</v>
      </c>
    </row>
    <row r="57" spans="2:18" x14ac:dyDescent="0.25">
      <c r="B57" s="3" t="s">
        <v>0</v>
      </c>
      <c r="C57" s="1">
        <f>SUM(C45:C56)</f>
        <v>8.719479999999999</v>
      </c>
      <c r="D57" s="1">
        <f>SUM(D45:D56)</f>
        <v>19.651</v>
      </c>
      <c r="E57" s="1">
        <f>SUM(E45:E56)</f>
        <v>20.088000000000001</v>
      </c>
      <c r="F57" s="1">
        <f>SUM(F45:F56)</f>
        <v>15.476999999999999</v>
      </c>
      <c r="G57" s="1">
        <f>SUM(G45:G56)</f>
        <v>8.093</v>
      </c>
      <c r="H57" s="2"/>
      <c r="I57" s="1">
        <f t="shared" ref="I57:R57" si="34">SUM(I45:I56)</f>
        <v>7.2175599999999998</v>
      </c>
      <c r="J57" s="1">
        <f t="shared" si="34"/>
        <v>11.514720000000002</v>
      </c>
      <c r="K57" s="1">
        <f t="shared" si="34"/>
        <v>13.05836</v>
      </c>
      <c r="L57" s="1">
        <f t="shared" si="34"/>
        <v>9.4078599999999994</v>
      </c>
      <c r="M57" s="1">
        <f t="shared" si="34"/>
        <v>4.0051199999999998</v>
      </c>
      <c r="N57" s="1">
        <f t="shared" si="34"/>
        <v>1.5019200000000001</v>
      </c>
      <c r="O57" s="1">
        <f t="shared" si="34"/>
        <v>8.1354000000000006</v>
      </c>
      <c r="P57" s="1">
        <f t="shared" si="34"/>
        <v>7.0298200000000008</v>
      </c>
      <c r="Q57" s="1">
        <f t="shared" si="34"/>
        <v>6.0702599999999993</v>
      </c>
      <c r="R57" s="1">
        <f t="shared" si="34"/>
        <v>4.0885600000000002</v>
      </c>
    </row>
  </sheetData>
  <mergeCells count="13">
    <mergeCell ref="B43:B44"/>
    <mergeCell ref="B24:B25"/>
    <mergeCell ref="I23:M23"/>
    <mergeCell ref="I42:M42"/>
    <mergeCell ref="C42:G42"/>
    <mergeCell ref="C23:G23"/>
    <mergeCell ref="N23:R23"/>
    <mergeCell ref="N42:R42"/>
    <mergeCell ref="A1:Q1"/>
    <mergeCell ref="B5:B6"/>
    <mergeCell ref="C4:G4"/>
    <mergeCell ref="I4:M4"/>
    <mergeCell ref="N4:R4"/>
  </mergeCells>
  <pageMargins left="0.7" right="0.7" top="0.75" bottom="0.75" header="0.3" footer="0.3"/>
  <pageSetup paperSize="9" scale="5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M95"/>
  <sheetViews>
    <sheetView showGridLines="0" topLeftCell="J19" zoomScaleNormal="100" zoomScaleSheetLayoutView="100" workbookViewId="0">
      <selection activeCell="H49" sqref="H49"/>
    </sheetView>
  </sheetViews>
  <sheetFormatPr defaultRowHeight="15" x14ac:dyDescent="0.25"/>
  <cols>
    <col min="3" max="3" width="9.140625" hidden="1" customWidth="1"/>
    <col min="4" max="5" width="10.5703125" customWidth="1"/>
    <col min="6" max="7" width="13.85546875" bestFit="1" customWidth="1"/>
  </cols>
  <sheetData>
    <row r="1" spans="1:13" s="26" customFormat="1" ht="46.5" x14ac:dyDescent="0.7">
      <c r="A1" s="34" t="str">
        <f ca="1">RIGHT(CELL("filename",A1),LEN(CELL("filename",A1))-FIND("]",CELL("filename",A1)))</f>
        <v>LPG 50kg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x14ac:dyDescent="0.25">
      <c r="A2" s="15" t="s">
        <v>23</v>
      </c>
    </row>
    <row r="3" spans="1:13" x14ac:dyDescent="0.25">
      <c r="A3" s="24"/>
    </row>
    <row r="4" spans="1:13" x14ac:dyDescent="0.25">
      <c r="B4" s="14"/>
      <c r="C4" s="32" t="s">
        <v>17</v>
      </c>
      <c r="D4" s="32"/>
      <c r="E4" s="32"/>
      <c r="F4" s="32"/>
      <c r="G4" s="32"/>
    </row>
    <row r="5" spans="1:13" x14ac:dyDescent="0.25">
      <c r="B5" s="33" t="s">
        <v>15</v>
      </c>
      <c r="C5" s="13">
        <v>2022</v>
      </c>
      <c r="D5" s="13">
        <v>2023</v>
      </c>
      <c r="E5" s="13">
        <v>2024</v>
      </c>
      <c r="F5" s="13">
        <v>2025</v>
      </c>
      <c r="G5" s="13">
        <v>2026</v>
      </c>
    </row>
    <row r="6" spans="1:13" x14ac:dyDescent="0.25">
      <c r="B6" s="33"/>
      <c r="C6" s="12" t="s">
        <v>22</v>
      </c>
      <c r="D6" s="12" t="s">
        <v>22</v>
      </c>
      <c r="E6" s="12" t="s">
        <v>22</v>
      </c>
      <c r="F6" s="12" t="s">
        <v>22</v>
      </c>
      <c r="G6" s="12" t="s">
        <v>22</v>
      </c>
    </row>
    <row r="7" spans="1:13" x14ac:dyDescent="0.25">
      <c r="B7" s="11" t="s">
        <v>12</v>
      </c>
      <c r="C7" s="11">
        <v>18</v>
      </c>
      <c r="D7" s="19">
        <v>24</v>
      </c>
      <c r="E7" s="18">
        <v>36</v>
      </c>
      <c r="F7" s="17">
        <v>42</v>
      </c>
      <c r="G7" s="9">
        <v>24</v>
      </c>
    </row>
    <row r="8" spans="1:13" x14ac:dyDescent="0.25">
      <c r="B8" s="11" t="s">
        <v>11</v>
      </c>
      <c r="C8" s="11">
        <v>18</v>
      </c>
      <c r="D8" s="19">
        <v>6</v>
      </c>
      <c r="E8" s="18">
        <v>42</v>
      </c>
      <c r="F8" s="17">
        <v>24</v>
      </c>
      <c r="G8" s="9">
        <v>30</v>
      </c>
    </row>
    <row r="9" spans="1:13" x14ac:dyDescent="0.25">
      <c r="B9" s="11" t="s">
        <v>10</v>
      </c>
      <c r="C9" s="11">
        <v>24</v>
      </c>
      <c r="D9" s="19">
        <v>24</v>
      </c>
      <c r="E9" s="18">
        <v>30</v>
      </c>
      <c r="F9" s="17">
        <v>12</v>
      </c>
      <c r="G9" s="9">
        <v>30</v>
      </c>
    </row>
    <row r="10" spans="1:13" x14ac:dyDescent="0.25">
      <c r="B10" s="11" t="s">
        <v>9</v>
      </c>
      <c r="C10" s="11">
        <v>6</v>
      </c>
      <c r="D10" s="19">
        <v>18</v>
      </c>
      <c r="E10" s="18">
        <v>36</v>
      </c>
      <c r="F10" s="17">
        <v>18</v>
      </c>
      <c r="G10" s="9">
        <v>30</v>
      </c>
    </row>
    <row r="11" spans="1:13" x14ac:dyDescent="0.25">
      <c r="B11" s="11" t="s">
        <v>8</v>
      </c>
      <c r="C11" s="11">
        <v>24</v>
      </c>
      <c r="D11" s="19">
        <v>30</v>
      </c>
      <c r="E11" s="18">
        <v>42</v>
      </c>
      <c r="F11" s="17">
        <v>24</v>
      </c>
      <c r="G11" s="9">
        <v>30</v>
      </c>
    </row>
    <row r="12" spans="1:13" x14ac:dyDescent="0.25">
      <c r="B12" s="11" t="s">
        <v>7</v>
      </c>
      <c r="C12" s="11">
        <v>24</v>
      </c>
      <c r="D12" s="19">
        <v>18</v>
      </c>
      <c r="E12" s="18">
        <v>48</v>
      </c>
      <c r="F12" s="17">
        <v>18</v>
      </c>
      <c r="G12" s="9">
        <v>48</v>
      </c>
    </row>
    <row r="13" spans="1:13" x14ac:dyDescent="0.25">
      <c r="B13" s="11" t="s">
        <v>6</v>
      </c>
      <c r="C13" s="11">
        <v>24</v>
      </c>
      <c r="D13" s="19">
        <v>48</v>
      </c>
      <c r="E13" s="18">
        <v>30</v>
      </c>
      <c r="F13" s="17">
        <v>18</v>
      </c>
      <c r="G13" s="9">
        <v>36</v>
      </c>
    </row>
    <row r="14" spans="1:13" x14ac:dyDescent="0.25">
      <c r="B14" s="11" t="s">
        <v>5</v>
      </c>
      <c r="C14" s="11">
        <v>0</v>
      </c>
      <c r="D14" s="19">
        <v>66</v>
      </c>
      <c r="E14" s="18">
        <v>30</v>
      </c>
      <c r="F14" s="17">
        <v>12</v>
      </c>
      <c r="G14" s="9"/>
    </row>
    <row r="15" spans="1:13" x14ac:dyDescent="0.25">
      <c r="B15" s="11" t="s">
        <v>4</v>
      </c>
      <c r="C15" s="11">
        <v>36</v>
      </c>
      <c r="D15" s="19">
        <v>47</v>
      </c>
      <c r="E15" s="18">
        <v>24</v>
      </c>
      <c r="F15" s="17">
        <v>18</v>
      </c>
      <c r="G15" s="9"/>
    </row>
    <row r="16" spans="1:13" x14ac:dyDescent="0.25">
      <c r="B16" s="11" t="s">
        <v>3</v>
      </c>
      <c r="C16" s="11">
        <v>12</v>
      </c>
      <c r="D16" s="19">
        <v>66</v>
      </c>
      <c r="E16" s="18">
        <v>24</v>
      </c>
      <c r="F16" s="17">
        <v>18</v>
      </c>
      <c r="G16" s="9"/>
    </row>
    <row r="17" spans="1:7" x14ac:dyDescent="0.25">
      <c r="B17" s="11" t="s">
        <v>2</v>
      </c>
      <c r="C17" s="11">
        <v>18</v>
      </c>
      <c r="D17" s="19">
        <v>42</v>
      </c>
      <c r="E17" s="18">
        <v>30</v>
      </c>
      <c r="F17" s="17">
        <v>12</v>
      </c>
      <c r="G17" s="9"/>
    </row>
    <row r="18" spans="1:7" x14ac:dyDescent="0.25">
      <c r="B18" s="11" t="s">
        <v>1</v>
      </c>
      <c r="C18" s="11">
        <v>24</v>
      </c>
      <c r="D18" s="19">
        <v>54</v>
      </c>
      <c r="E18" s="18">
        <v>24</v>
      </c>
      <c r="F18" s="17">
        <v>12</v>
      </c>
      <c r="G18" s="9"/>
    </row>
    <row r="19" spans="1:7" x14ac:dyDescent="0.25">
      <c r="B19" s="3" t="s">
        <v>0</v>
      </c>
      <c r="C19" s="16">
        <f>SUM(C7:C18)</f>
        <v>228</v>
      </c>
      <c r="D19" s="16">
        <f>SUM(D7:D18)</f>
        <v>443</v>
      </c>
      <c r="E19" s="16">
        <f>SUM(E7:E18)</f>
        <v>396</v>
      </c>
      <c r="F19" s="16">
        <f>SUM(F7:F18)</f>
        <v>228</v>
      </c>
      <c r="G19" s="16">
        <f>SUM(G7:G18)</f>
        <v>228</v>
      </c>
    </row>
    <row r="21" spans="1:7" x14ac:dyDescent="0.25">
      <c r="A21" s="15" t="s">
        <v>21</v>
      </c>
    </row>
    <row r="23" spans="1:7" x14ac:dyDescent="0.25">
      <c r="B23" s="14"/>
      <c r="C23" s="32" t="s">
        <v>17</v>
      </c>
      <c r="D23" s="32"/>
      <c r="E23" s="32"/>
      <c r="F23" s="32"/>
      <c r="G23" s="32"/>
    </row>
    <row r="24" spans="1:7" x14ac:dyDescent="0.25">
      <c r="B24" s="33" t="s">
        <v>15</v>
      </c>
      <c r="C24" s="13">
        <v>2022</v>
      </c>
      <c r="D24" s="13">
        <v>2023</v>
      </c>
      <c r="E24" s="13">
        <v>2024</v>
      </c>
      <c r="F24" s="13">
        <v>2025</v>
      </c>
      <c r="G24" s="13">
        <v>2026</v>
      </c>
    </row>
    <row r="25" spans="1:7" x14ac:dyDescent="0.25">
      <c r="B25" s="33"/>
      <c r="C25" s="12" t="s">
        <v>20</v>
      </c>
      <c r="D25" s="12" t="s">
        <v>20</v>
      </c>
      <c r="E25" s="12" t="s">
        <v>20</v>
      </c>
      <c r="F25" s="12" t="s">
        <v>20</v>
      </c>
      <c r="G25" s="12" t="s">
        <v>20</v>
      </c>
    </row>
    <row r="26" spans="1:7" x14ac:dyDescent="0.25">
      <c r="B26" s="11" t="s">
        <v>12</v>
      </c>
      <c r="C26" s="11">
        <f t="shared" ref="C26:G37" si="0">C7*50</f>
        <v>900</v>
      </c>
      <c r="D26" s="19">
        <f t="shared" si="0"/>
        <v>1200</v>
      </c>
      <c r="E26" s="18">
        <f t="shared" si="0"/>
        <v>1800</v>
      </c>
      <c r="F26" s="17">
        <f t="shared" si="0"/>
        <v>2100</v>
      </c>
      <c r="G26" s="9">
        <f t="shared" si="0"/>
        <v>1200</v>
      </c>
    </row>
    <row r="27" spans="1:7" x14ac:dyDescent="0.25">
      <c r="B27" s="11" t="s">
        <v>11</v>
      </c>
      <c r="C27" s="11">
        <f t="shared" si="0"/>
        <v>900</v>
      </c>
      <c r="D27" s="19">
        <f t="shared" si="0"/>
        <v>300</v>
      </c>
      <c r="E27" s="18">
        <f t="shared" si="0"/>
        <v>2100</v>
      </c>
      <c r="F27" s="17">
        <f t="shared" si="0"/>
        <v>1200</v>
      </c>
      <c r="G27" s="9">
        <f t="shared" si="0"/>
        <v>1500</v>
      </c>
    </row>
    <row r="28" spans="1:7" x14ac:dyDescent="0.25">
      <c r="B28" s="11" t="s">
        <v>10</v>
      </c>
      <c r="C28" s="11">
        <f t="shared" si="0"/>
        <v>1200</v>
      </c>
      <c r="D28" s="19">
        <f t="shared" si="0"/>
        <v>1200</v>
      </c>
      <c r="E28" s="18">
        <f t="shared" si="0"/>
        <v>1500</v>
      </c>
      <c r="F28" s="17">
        <f t="shared" si="0"/>
        <v>600</v>
      </c>
      <c r="G28" s="9">
        <f t="shared" si="0"/>
        <v>1500</v>
      </c>
    </row>
    <row r="29" spans="1:7" x14ac:dyDescent="0.25">
      <c r="B29" s="11" t="s">
        <v>9</v>
      </c>
      <c r="C29" s="11">
        <f t="shared" si="0"/>
        <v>300</v>
      </c>
      <c r="D29" s="19">
        <f t="shared" si="0"/>
        <v>900</v>
      </c>
      <c r="E29" s="18">
        <f t="shared" si="0"/>
        <v>1800</v>
      </c>
      <c r="F29" s="17">
        <f t="shared" si="0"/>
        <v>900</v>
      </c>
      <c r="G29" s="9">
        <f t="shared" si="0"/>
        <v>1500</v>
      </c>
    </row>
    <row r="30" spans="1:7" x14ac:dyDescent="0.25">
      <c r="B30" s="11" t="s">
        <v>8</v>
      </c>
      <c r="C30" s="11">
        <f t="shared" si="0"/>
        <v>1200</v>
      </c>
      <c r="D30" s="19">
        <f t="shared" si="0"/>
        <v>1500</v>
      </c>
      <c r="E30" s="18">
        <f t="shared" si="0"/>
        <v>2100</v>
      </c>
      <c r="F30" s="17">
        <f t="shared" si="0"/>
        <v>1200</v>
      </c>
      <c r="G30" s="9">
        <f t="shared" si="0"/>
        <v>1500</v>
      </c>
    </row>
    <row r="31" spans="1:7" x14ac:dyDescent="0.25">
      <c r="B31" s="11" t="s">
        <v>7</v>
      </c>
      <c r="C31" s="11">
        <f t="shared" si="0"/>
        <v>1200</v>
      </c>
      <c r="D31" s="19">
        <f t="shared" si="0"/>
        <v>900</v>
      </c>
      <c r="E31" s="18">
        <f t="shared" si="0"/>
        <v>2400</v>
      </c>
      <c r="F31" s="17">
        <f t="shared" si="0"/>
        <v>900</v>
      </c>
      <c r="G31" s="9">
        <f t="shared" ref="G31" si="1">G12*50</f>
        <v>2400</v>
      </c>
    </row>
    <row r="32" spans="1:7" x14ac:dyDescent="0.25">
      <c r="B32" s="11" t="s">
        <v>6</v>
      </c>
      <c r="C32" s="11">
        <f t="shared" si="0"/>
        <v>1200</v>
      </c>
      <c r="D32" s="19">
        <f t="shared" si="0"/>
        <v>2400</v>
      </c>
      <c r="E32" s="18">
        <f t="shared" si="0"/>
        <v>1500</v>
      </c>
      <c r="F32" s="17">
        <f t="shared" si="0"/>
        <v>900</v>
      </c>
      <c r="G32" s="9">
        <f t="shared" ref="G32" si="2">G13*50</f>
        <v>1800</v>
      </c>
    </row>
    <row r="33" spans="1:7" x14ac:dyDescent="0.25">
      <c r="B33" s="11" t="s">
        <v>5</v>
      </c>
      <c r="C33" s="11">
        <f t="shared" si="0"/>
        <v>0</v>
      </c>
      <c r="D33" s="19">
        <f t="shared" si="0"/>
        <v>3300</v>
      </c>
      <c r="E33" s="18">
        <f t="shared" si="0"/>
        <v>1500</v>
      </c>
      <c r="F33" s="17">
        <f t="shared" si="0"/>
        <v>600</v>
      </c>
      <c r="G33" s="9">
        <f t="shared" ref="G33" si="3">G14*50</f>
        <v>0</v>
      </c>
    </row>
    <row r="34" spans="1:7" x14ac:dyDescent="0.25">
      <c r="B34" s="11" t="s">
        <v>4</v>
      </c>
      <c r="C34" s="11">
        <f t="shared" si="0"/>
        <v>1800</v>
      </c>
      <c r="D34" s="19">
        <f t="shared" si="0"/>
        <v>2350</v>
      </c>
      <c r="E34" s="18">
        <f t="shared" si="0"/>
        <v>1200</v>
      </c>
      <c r="F34" s="17">
        <f t="shared" si="0"/>
        <v>900</v>
      </c>
      <c r="G34" s="9">
        <f t="shared" ref="G34" si="4">G15*50</f>
        <v>0</v>
      </c>
    </row>
    <row r="35" spans="1:7" x14ac:dyDescent="0.25">
      <c r="B35" s="11" t="s">
        <v>3</v>
      </c>
      <c r="C35" s="11">
        <f t="shared" si="0"/>
        <v>600</v>
      </c>
      <c r="D35" s="19">
        <f t="shared" si="0"/>
        <v>3300</v>
      </c>
      <c r="E35" s="18">
        <f t="shared" si="0"/>
        <v>1200</v>
      </c>
      <c r="F35" s="17">
        <f t="shared" si="0"/>
        <v>900</v>
      </c>
      <c r="G35" s="9">
        <f t="shared" ref="G35" si="5">G16*50</f>
        <v>0</v>
      </c>
    </row>
    <row r="36" spans="1:7" x14ac:dyDescent="0.25">
      <c r="B36" s="11" t="s">
        <v>2</v>
      </c>
      <c r="C36" s="11">
        <f t="shared" si="0"/>
        <v>900</v>
      </c>
      <c r="D36" s="19">
        <f t="shared" si="0"/>
        <v>2100</v>
      </c>
      <c r="E36" s="18">
        <f t="shared" si="0"/>
        <v>1500</v>
      </c>
      <c r="F36" s="17">
        <f t="shared" si="0"/>
        <v>600</v>
      </c>
      <c r="G36" s="9">
        <f t="shared" ref="G36" si="6">G17*50</f>
        <v>0</v>
      </c>
    </row>
    <row r="37" spans="1:7" x14ac:dyDescent="0.25">
      <c r="B37" s="11" t="s">
        <v>1</v>
      </c>
      <c r="C37" s="11">
        <f t="shared" si="0"/>
        <v>1200</v>
      </c>
      <c r="D37" s="19">
        <f t="shared" si="0"/>
        <v>2700</v>
      </c>
      <c r="E37" s="18">
        <f t="shared" si="0"/>
        <v>1200</v>
      </c>
      <c r="F37" s="17">
        <f t="shared" si="0"/>
        <v>600</v>
      </c>
      <c r="G37" s="9">
        <f t="shared" ref="G37" si="7">G18*50</f>
        <v>0</v>
      </c>
    </row>
    <row r="38" spans="1:7" x14ac:dyDescent="0.25">
      <c r="B38" s="3" t="s">
        <v>0</v>
      </c>
      <c r="C38" s="16">
        <f>SUM(C26:C37)</f>
        <v>11400</v>
      </c>
      <c r="D38" s="16">
        <f>SUM(D26:D37)</f>
        <v>22150</v>
      </c>
      <c r="E38" s="16">
        <f>SUM(E26:E37)</f>
        <v>19800</v>
      </c>
      <c r="F38" s="16">
        <f>SUM(F26:F37)</f>
        <v>11400</v>
      </c>
      <c r="G38" s="16">
        <f>SUM(G26:G37)</f>
        <v>11400</v>
      </c>
    </row>
    <row r="40" spans="1:7" x14ac:dyDescent="0.25">
      <c r="A40" s="15" t="s">
        <v>19</v>
      </c>
    </row>
    <row r="42" spans="1:7" x14ac:dyDescent="0.25">
      <c r="B42" s="14"/>
      <c r="C42" s="32" t="s">
        <v>17</v>
      </c>
      <c r="D42" s="32"/>
      <c r="E42" s="32"/>
      <c r="F42" s="32"/>
      <c r="G42" s="32"/>
    </row>
    <row r="43" spans="1:7" x14ac:dyDescent="0.25">
      <c r="B43" s="33" t="s">
        <v>15</v>
      </c>
      <c r="C43" s="13">
        <v>2022</v>
      </c>
      <c r="D43" s="13">
        <v>2023</v>
      </c>
      <c r="E43" s="13">
        <v>2024</v>
      </c>
      <c r="F43" s="13">
        <v>2025</v>
      </c>
      <c r="G43" s="13">
        <v>2026</v>
      </c>
    </row>
    <row r="44" spans="1:7" ht="18" x14ac:dyDescent="0.25">
      <c r="B44" s="33"/>
      <c r="C44" s="12" t="s">
        <v>24</v>
      </c>
      <c r="D44" s="12" t="s">
        <v>13</v>
      </c>
      <c r="E44" s="12" t="s">
        <v>13</v>
      </c>
      <c r="F44" s="12" t="s">
        <v>13</v>
      </c>
      <c r="G44" s="12" t="s">
        <v>13</v>
      </c>
    </row>
    <row r="45" spans="1:7" x14ac:dyDescent="0.25">
      <c r="B45" s="11" t="s">
        <v>12</v>
      </c>
      <c r="C45" s="10">
        <f t="shared" ref="C45:C56" si="8">C26*1.49/1000</f>
        <v>1.341</v>
      </c>
      <c r="D45" s="7">
        <f t="shared" ref="D45:G56" si="9">ROUND(D26*1.49/1000,3)</f>
        <v>1.788</v>
      </c>
      <c r="E45" s="6">
        <f t="shared" si="9"/>
        <v>2.6819999999999999</v>
      </c>
      <c r="F45" s="5">
        <f t="shared" si="9"/>
        <v>3.129</v>
      </c>
      <c r="G45" s="9">
        <f t="shared" si="9"/>
        <v>1.788</v>
      </c>
    </row>
    <row r="46" spans="1:7" x14ac:dyDescent="0.25">
      <c r="B46" s="11" t="s">
        <v>11</v>
      </c>
      <c r="C46" s="10">
        <f t="shared" si="8"/>
        <v>1.341</v>
      </c>
      <c r="D46" s="7">
        <f t="shared" si="9"/>
        <v>0.44700000000000001</v>
      </c>
      <c r="E46" s="6">
        <f t="shared" si="9"/>
        <v>3.129</v>
      </c>
      <c r="F46" s="5">
        <f t="shared" si="9"/>
        <v>1.788</v>
      </c>
      <c r="G46" s="9">
        <f t="shared" si="9"/>
        <v>2.2349999999999999</v>
      </c>
    </row>
    <row r="47" spans="1:7" x14ac:dyDescent="0.25">
      <c r="B47" s="11" t="s">
        <v>10</v>
      </c>
      <c r="C47" s="10">
        <f t="shared" si="8"/>
        <v>1.788</v>
      </c>
      <c r="D47" s="7">
        <f t="shared" si="9"/>
        <v>1.788</v>
      </c>
      <c r="E47" s="6">
        <f t="shared" si="9"/>
        <v>2.2349999999999999</v>
      </c>
      <c r="F47" s="5">
        <f t="shared" si="9"/>
        <v>0.89400000000000002</v>
      </c>
      <c r="G47" s="9">
        <f t="shared" si="9"/>
        <v>2.2349999999999999</v>
      </c>
    </row>
    <row r="48" spans="1:7" x14ac:dyDescent="0.25">
      <c r="B48" s="11" t="s">
        <v>9</v>
      </c>
      <c r="C48" s="10">
        <f t="shared" si="8"/>
        <v>0.44700000000000001</v>
      </c>
      <c r="D48" s="7">
        <f t="shared" si="9"/>
        <v>1.341</v>
      </c>
      <c r="E48" s="6">
        <f t="shared" si="9"/>
        <v>2.6819999999999999</v>
      </c>
      <c r="F48" s="5">
        <f t="shared" si="9"/>
        <v>1.341</v>
      </c>
      <c r="G48" s="9">
        <f t="shared" si="9"/>
        <v>2.2349999999999999</v>
      </c>
    </row>
    <row r="49" spans="1:7" x14ac:dyDescent="0.25">
      <c r="B49" s="11" t="s">
        <v>8</v>
      </c>
      <c r="C49" s="10">
        <f t="shared" si="8"/>
        <v>1.788</v>
      </c>
      <c r="D49" s="7">
        <f t="shared" si="9"/>
        <v>2.2349999999999999</v>
      </c>
      <c r="E49" s="6">
        <f t="shared" si="9"/>
        <v>3.129</v>
      </c>
      <c r="F49" s="5">
        <f t="shared" si="9"/>
        <v>1.788</v>
      </c>
      <c r="G49" s="9">
        <f t="shared" si="9"/>
        <v>2.2349999999999999</v>
      </c>
    </row>
    <row r="50" spans="1:7" x14ac:dyDescent="0.25">
      <c r="B50" s="11" t="s">
        <v>7</v>
      </c>
      <c r="C50" s="10">
        <f t="shared" si="8"/>
        <v>1.788</v>
      </c>
      <c r="D50" s="7">
        <f t="shared" si="9"/>
        <v>1.341</v>
      </c>
      <c r="E50" s="6">
        <f t="shared" si="9"/>
        <v>3.5760000000000001</v>
      </c>
      <c r="F50" s="5">
        <f t="shared" si="9"/>
        <v>1.341</v>
      </c>
      <c r="G50" s="9">
        <f t="shared" si="9"/>
        <v>3.5760000000000001</v>
      </c>
    </row>
    <row r="51" spans="1:7" x14ac:dyDescent="0.25">
      <c r="B51" s="11" t="s">
        <v>6</v>
      </c>
      <c r="C51" s="10">
        <f t="shared" si="8"/>
        <v>1.788</v>
      </c>
      <c r="D51" s="7">
        <f t="shared" si="9"/>
        <v>3.5760000000000001</v>
      </c>
      <c r="E51" s="6">
        <f t="shared" si="9"/>
        <v>2.2349999999999999</v>
      </c>
      <c r="F51" s="5">
        <f t="shared" si="9"/>
        <v>1.341</v>
      </c>
      <c r="G51" s="9">
        <f t="shared" si="9"/>
        <v>2.6819999999999999</v>
      </c>
    </row>
    <row r="52" spans="1:7" x14ac:dyDescent="0.25">
      <c r="B52" s="11" t="s">
        <v>5</v>
      </c>
      <c r="C52" s="10">
        <f t="shared" si="8"/>
        <v>0</v>
      </c>
      <c r="D52" s="7">
        <f t="shared" si="9"/>
        <v>4.9169999999999998</v>
      </c>
      <c r="E52" s="6">
        <f t="shared" si="9"/>
        <v>2.2349999999999999</v>
      </c>
      <c r="F52" s="5">
        <f t="shared" si="9"/>
        <v>0.89400000000000002</v>
      </c>
      <c r="G52" s="9">
        <f t="shared" si="9"/>
        <v>0</v>
      </c>
    </row>
    <row r="53" spans="1:7" x14ac:dyDescent="0.25">
      <c r="B53" s="11" t="s">
        <v>4</v>
      </c>
      <c r="C53" s="10">
        <f t="shared" si="8"/>
        <v>2.6819999999999999</v>
      </c>
      <c r="D53" s="7">
        <f t="shared" si="9"/>
        <v>3.5019999999999998</v>
      </c>
      <c r="E53" s="6">
        <f t="shared" si="9"/>
        <v>1.788</v>
      </c>
      <c r="F53" s="5">
        <f t="shared" si="9"/>
        <v>1.341</v>
      </c>
      <c r="G53" s="9">
        <f t="shared" si="9"/>
        <v>0</v>
      </c>
    </row>
    <row r="54" spans="1:7" x14ac:dyDescent="0.25">
      <c r="B54" s="11" t="s">
        <v>3</v>
      </c>
      <c r="C54" s="10">
        <f t="shared" si="8"/>
        <v>0.89400000000000002</v>
      </c>
      <c r="D54" s="7">
        <f t="shared" si="9"/>
        <v>4.9169999999999998</v>
      </c>
      <c r="E54" s="6">
        <f t="shared" si="9"/>
        <v>1.788</v>
      </c>
      <c r="F54" s="5">
        <f t="shared" si="9"/>
        <v>1.341</v>
      </c>
      <c r="G54" s="9">
        <f t="shared" si="9"/>
        <v>0</v>
      </c>
    </row>
    <row r="55" spans="1:7" x14ac:dyDescent="0.25">
      <c r="B55" s="11" t="s">
        <v>2</v>
      </c>
      <c r="C55" s="10">
        <f t="shared" si="8"/>
        <v>1.341</v>
      </c>
      <c r="D55" s="7">
        <f t="shared" si="9"/>
        <v>3.129</v>
      </c>
      <c r="E55" s="6">
        <f t="shared" si="9"/>
        <v>2.2349999999999999</v>
      </c>
      <c r="F55" s="5">
        <f t="shared" si="9"/>
        <v>0.89400000000000002</v>
      </c>
      <c r="G55" s="9">
        <f t="shared" si="9"/>
        <v>0</v>
      </c>
    </row>
    <row r="56" spans="1:7" x14ac:dyDescent="0.25">
      <c r="B56" s="11" t="s">
        <v>1</v>
      </c>
      <c r="C56" s="10">
        <f t="shared" si="8"/>
        <v>1.788</v>
      </c>
      <c r="D56" s="7">
        <f t="shared" si="9"/>
        <v>4.0229999999999997</v>
      </c>
      <c r="E56" s="6">
        <f t="shared" si="9"/>
        <v>1.788</v>
      </c>
      <c r="F56" s="5">
        <f t="shared" si="9"/>
        <v>0.89400000000000002</v>
      </c>
      <c r="G56" s="9">
        <f t="shared" si="9"/>
        <v>0</v>
      </c>
    </row>
    <row r="57" spans="1:7" x14ac:dyDescent="0.25">
      <c r="B57" s="3" t="s">
        <v>0</v>
      </c>
      <c r="C57" s="1">
        <f>SUM(C45:C56)</f>
        <v>16.986000000000001</v>
      </c>
      <c r="D57" s="1">
        <f>SUM(D45:D56)</f>
        <v>33.003999999999998</v>
      </c>
      <c r="E57" s="1">
        <f>SUM(E45:E56)</f>
        <v>29.501999999999999</v>
      </c>
      <c r="F57" s="1">
        <f>SUM(F45:F56)</f>
        <v>16.985999999999994</v>
      </c>
      <c r="G57" s="1">
        <f>SUM(G45:G56)</f>
        <v>16.985999999999997</v>
      </c>
    </row>
    <row r="59" spans="1:7" x14ac:dyDescent="0.25">
      <c r="A59" s="15" t="s">
        <v>29</v>
      </c>
    </row>
    <row r="61" spans="1:7" x14ac:dyDescent="0.25">
      <c r="B61" s="14"/>
      <c r="C61" s="32" t="s">
        <v>17</v>
      </c>
      <c r="D61" s="32"/>
      <c r="E61" s="32"/>
      <c r="F61" s="32"/>
      <c r="G61" s="32"/>
    </row>
    <row r="62" spans="1:7" x14ac:dyDescent="0.25">
      <c r="B62" s="33" t="s">
        <v>15</v>
      </c>
      <c r="C62" s="28">
        <v>2022</v>
      </c>
      <c r="D62" s="28">
        <v>2023</v>
      </c>
      <c r="E62" s="28">
        <v>2024</v>
      </c>
      <c r="F62" s="28">
        <v>2025</v>
      </c>
      <c r="G62" s="28">
        <v>2026</v>
      </c>
    </row>
    <row r="63" spans="1:7" x14ac:dyDescent="0.25">
      <c r="B63" s="33"/>
      <c r="C63" s="12" t="s">
        <v>28</v>
      </c>
      <c r="D63" s="12" t="s">
        <v>28</v>
      </c>
      <c r="E63" s="12" t="s">
        <v>28</v>
      </c>
      <c r="F63" s="12" t="s">
        <v>28</v>
      </c>
      <c r="G63" s="12" t="s">
        <v>28</v>
      </c>
    </row>
    <row r="64" spans="1:7" x14ac:dyDescent="0.25">
      <c r="B64" s="11" t="s">
        <v>12</v>
      </c>
      <c r="C64" s="10"/>
      <c r="D64" s="7"/>
      <c r="E64" s="6"/>
      <c r="F64" s="29">
        <v>528240</v>
      </c>
      <c r="G64" s="9">
        <v>443791</v>
      </c>
    </row>
    <row r="65" spans="1:7" x14ac:dyDescent="0.25">
      <c r="B65" s="11" t="s">
        <v>11</v>
      </c>
      <c r="C65" s="10"/>
      <c r="D65" s="7"/>
      <c r="E65" s="6"/>
      <c r="F65" s="29">
        <v>398480</v>
      </c>
      <c r="G65" s="9">
        <v>268406</v>
      </c>
    </row>
    <row r="66" spans="1:7" x14ac:dyDescent="0.25">
      <c r="B66" s="11" t="s">
        <v>10</v>
      </c>
      <c r="C66" s="10"/>
      <c r="D66" s="7"/>
      <c r="E66" s="6"/>
      <c r="F66" s="29">
        <v>226000</v>
      </c>
      <c r="G66" s="9">
        <v>503782</v>
      </c>
    </row>
    <row r="67" spans="1:7" x14ac:dyDescent="0.25">
      <c r="B67" s="11" t="s">
        <v>9</v>
      </c>
      <c r="C67" s="10"/>
      <c r="D67" s="7"/>
      <c r="E67" s="6"/>
      <c r="F67" s="29">
        <v>305705</v>
      </c>
      <c r="G67" s="9">
        <v>473245</v>
      </c>
    </row>
    <row r="68" spans="1:7" x14ac:dyDescent="0.25">
      <c r="B68" s="11" t="s">
        <v>8</v>
      </c>
      <c r="C68" s="10"/>
      <c r="D68" s="7"/>
      <c r="E68" s="6"/>
      <c r="F68" s="29">
        <v>473610</v>
      </c>
      <c r="G68" s="9">
        <v>310363</v>
      </c>
    </row>
    <row r="69" spans="1:7" x14ac:dyDescent="0.25">
      <c r="B69" s="11" t="s">
        <v>7</v>
      </c>
      <c r="C69" s="10"/>
      <c r="D69" s="7"/>
      <c r="E69" s="6"/>
      <c r="F69" s="29">
        <v>365710</v>
      </c>
      <c r="G69" s="9">
        <v>185932</v>
      </c>
    </row>
    <row r="70" spans="1:7" x14ac:dyDescent="0.25">
      <c r="B70" s="11" t="s">
        <v>6</v>
      </c>
      <c r="C70" s="10"/>
      <c r="D70" s="7"/>
      <c r="E70" s="6"/>
      <c r="F70" s="29">
        <v>371959</v>
      </c>
      <c r="G70" s="9"/>
    </row>
    <row r="71" spans="1:7" x14ac:dyDescent="0.25">
      <c r="B71" s="11" t="s">
        <v>5</v>
      </c>
      <c r="C71" s="10"/>
      <c r="D71" s="7"/>
      <c r="E71" s="6"/>
      <c r="F71" s="29">
        <v>354157</v>
      </c>
      <c r="G71" s="9"/>
    </row>
    <row r="72" spans="1:7" x14ac:dyDescent="0.25">
      <c r="B72" s="11" t="s">
        <v>4</v>
      </c>
      <c r="C72" s="10"/>
      <c r="D72" s="7"/>
      <c r="E72" s="6"/>
      <c r="F72" s="29">
        <v>374420</v>
      </c>
      <c r="G72" s="9"/>
    </row>
    <row r="73" spans="1:7" x14ac:dyDescent="0.25">
      <c r="B73" s="11" t="s">
        <v>3</v>
      </c>
      <c r="C73" s="10"/>
      <c r="D73" s="7"/>
      <c r="E73" s="6"/>
      <c r="F73" s="29">
        <v>438912</v>
      </c>
      <c r="G73" s="9"/>
    </row>
    <row r="74" spans="1:7" x14ac:dyDescent="0.25">
      <c r="B74" s="11" t="s">
        <v>2</v>
      </c>
      <c r="C74" s="10"/>
      <c r="D74" s="7"/>
      <c r="E74" s="6"/>
      <c r="F74" s="29">
        <v>252730</v>
      </c>
      <c r="G74" s="9"/>
    </row>
    <row r="75" spans="1:7" x14ac:dyDescent="0.25">
      <c r="B75" s="11" t="s">
        <v>1</v>
      </c>
      <c r="C75" s="10"/>
      <c r="D75" s="7"/>
      <c r="E75" s="6"/>
      <c r="F75" s="29">
        <v>231394</v>
      </c>
      <c r="G75" s="9"/>
    </row>
    <row r="76" spans="1:7" x14ac:dyDescent="0.25">
      <c r="B76" s="3" t="s">
        <v>0</v>
      </c>
      <c r="C76" s="1">
        <f>SUM(C64:C75)</f>
        <v>0</v>
      </c>
      <c r="D76" s="1">
        <f>SUM(D64:D75)</f>
        <v>0</v>
      </c>
      <c r="E76" s="1">
        <f>SUM(E64:E75)</f>
        <v>0</v>
      </c>
      <c r="F76" s="1">
        <f>SUM(F64:F75)</f>
        <v>4321317</v>
      </c>
      <c r="G76" s="1">
        <f>SUM(G64:G75)</f>
        <v>2185519</v>
      </c>
    </row>
    <row r="78" spans="1:7" x14ac:dyDescent="0.25">
      <c r="A78" s="15" t="s">
        <v>30</v>
      </c>
    </row>
    <row r="80" spans="1:7" x14ac:dyDescent="0.25">
      <c r="B80" s="14"/>
      <c r="C80" s="32" t="s">
        <v>17</v>
      </c>
      <c r="D80" s="32"/>
      <c r="E80" s="32"/>
      <c r="F80" s="32"/>
      <c r="G80" s="32"/>
    </row>
    <row r="81" spans="2:7" x14ac:dyDescent="0.25">
      <c r="B81" s="33" t="s">
        <v>15</v>
      </c>
      <c r="C81" s="28">
        <v>2022</v>
      </c>
      <c r="D81" s="28">
        <v>2023</v>
      </c>
      <c r="E81" s="28">
        <v>2024</v>
      </c>
      <c r="F81" s="28">
        <v>2025</v>
      </c>
      <c r="G81" s="28">
        <v>2026</v>
      </c>
    </row>
    <row r="82" spans="2:7" x14ac:dyDescent="0.25">
      <c r="B82" s="33"/>
      <c r="C82" s="12" t="s">
        <v>20</v>
      </c>
      <c r="D82" s="12" t="s">
        <v>20</v>
      </c>
      <c r="E82" s="12" t="s">
        <v>20</v>
      </c>
      <c r="F82" s="12" t="s">
        <v>20</v>
      </c>
      <c r="G82" s="12" t="s">
        <v>20</v>
      </c>
    </row>
    <row r="83" spans="2:7" x14ac:dyDescent="0.25">
      <c r="B83" s="11" t="s">
        <v>12</v>
      </c>
      <c r="C83" s="10"/>
      <c r="D83" s="7"/>
      <c r="E83" s="6"/>
      <c r="F83" s="5">
        <v>27202.55</v>
      </c>
      <c r="G83" s="9">
        <v>17736.900000000001</v>
      </c>
    </row>
    <row r="84" spans="2:7" x14ac:dyDescent="0.25">
      <c r="B84" s="11" t="s">
        <v>11</v>
      </c>
      <c r="C84" s="10"/>
      <c r="D84" s="7"/>
      <c r="E84" s="6"/>
      <c r="F84" s="5">
        <v>23755.54</v>
      </c>
      <c r="G84" s="9">
        <v>11557.9</v>
      </c>
    </row>
    <row r="85" spans="2:7" x14ac:dyDescent="0.25">
      <c r="B85" s="11" t="s">
        <v>10</v>
      </c>
      <c r="C85" s="10"/>
      <c r="D85" s="7"/>
      <c r="E85" s="6"/>
      <c r="F85" s="5">
        <v>14629.8</v>
      </c>
      <c r="G85" s="9">
        <v>31847.5</v>
      </c>
    </row>
    <row r="86" spans="2:7" x14ac:dyDescent="0.25">
      <c r="B86" s="11" t="s">
        <v>9</v>
      </c>
      <c r="C86" s="10"/>
      <c r="D86" s="7"/>
      <c r="E86" s="6"/>
      <c r="F86" s="5">
        <v>18444.41</v>
      </c>
      <c r="G86" s="9">
        <v>26053.27</v>
      </c>
    </row>
    <row r="87" spans="2:7" x14ac:dyDescent="0.25">
      <c r="B87" s="11" t="s">
        <v>8</v>
      </c>
      <c r="C87" s="10"/>
      <c r="D87" s="7"/>
      <c r="E87" s="6"/>
      <c r="F87" s="5">
        <v>18118.07</v>
      </c>
      <c r="G87" s="9">
        <v>20766.89</v>
      </c>
    </row>
    <row r="88" spans="2:7" x14ac:dyDescent="0.25">
      <c r="B88" s="11" t="s">
        <v>7</v>
      </c>
      <c r="C88" s="10"/>
      <c r="D88" s="7"/>
      <c r="E88" s="6"/>
      <c r="F88" s="5">
        <v>13026.59</v>
      </c>
      <c r="G88" s="9">
        <v>10838.6</v>
      </c>
    </row>
    <row r="89" spans="2:7" x14ac:dyDescent="0.25">
      <c r="B89" s="11" t="s">
        <v>6</v>
      </c>
      <c r="C89" s="10"/>
      <c r="D89" s="7"/>
      <c r="E89" s="6"/>
      <c r="F89" s="5">
        <v>15730.73</v>
      </c>
      <c r="G89" s="9"/>
    </row>
    <row r="90" spans="2:7" x14ac:dyDescent="0.25">
      <c r="B90" s="11" t="s">
        <v>5</v>
      </c>
      <c r="C90" s="10"/>
      <c r="D90" s="7"/>
      <c r="E90" s="6"/>
      <c r="F90" s="5">
        <v>9520.36</v>
      </c>
      <c r="G90" s="9"/>
    </row>
    <row r="91" spans="2:7" x14ac:dyDescent="0.25">
      <c r="B91" s="11" t="s">
        <v>4</v>
      </c>
      <c r="C91" s="10"/>
      <c r="D91" s="7"/>
      <c r="E91" s="6"/>
      <c r="F91" s="5">
        <v>13162.29</v>
      </c>
      <c r="G91" s="9"/>
    </row>
    <row r="92" spans="2:7" x14ac:dyDescent="0.25">
      <c r="B92" s="11" t="s">
        <v>3</v>
      </c>
      <c r="C92" s="10"/>
      <c r="D92" s="7"/>
      <c r="E92" s="6"/>
      <c r="F92" s="5">
        <v>13683.54</v>
      </c>
      <c r="G92" s="9"/>
    </row>
    <row r="93" spans="2:7" x14ac:dyDescent="0.25">
      <c r="B93" s="11" t="s">
        <v>2</v>
      </c>
      <c r="C93" s="10"/>
      <c r="D93" s="7"/>
      <c r="E93" s="6"/>
      <c r="F93" s="5">
        <v>10443.25</v>
      </c>
      <c r="G93" s="9"/>
    </row>
    <row r="94" spans="2:7" x14ac:dyDescent="0.25">
      <c r="B94" s="11" t="s">
        <v>1</v>
      </c>
      <c r="C94" s="10"/>
      <c r="D94" s="7"/>
      <c r="E94" s="6"/>
      <c r="F94" s="5">
        <v>16151.56</v>
      </c>
      <c r="G94" s="9"/>
    </row>
    <row r="95" spans="2:7" x14ac:dyDescent="0.25">
      <c r="B95" s="3" t="s">
        <v>0</v>
      </c>
      <c r="C95" s="1">
        <f>SUM(C83:C94)</f>
        <v>0</v>
      </c>
      <c r="D95" s="1">
        <f>SUM(D83:D94)</f>
        <v>0</v>
      </c>
      <c r="E95" s="1">
        <f>SUM(E83:E94)</f>
        <v>0</v>
      </c>
      <c r="F95" s="1">
        <f>SUM(F83:F94)</f>
        <v>193868.69</v>
      </c>
      <c r="G95" s="1">
        <f>SUM(G83:G94)</f>
        <v>118801.06000000001</v>
      </c>
    </row>
  </sheetData>
  <mergeCells count="11">
    <mergeCell ref="C61:G61"/>
    <mergeCell ref="B62:B63"/>
    <mergeCell ref="C80:G80"/>
    <mergeCell ref="B81:B82"/>
    <mergeCell ref="A1:M1"/>
    <mergeCell ref="B24:B25"/>
    <mergeCell ref="B43:B44"/>
    <mergeCell ref="B5:B6"/>
    <mergeCell ref="C42:G42"/>
    <mergeCell ref="C23:G23"/>
    <mergeCell ref="C4:G4"/>
  </mergeCells>
  <pageMargins left="0.7" right="0.7" top="0.75" bottom="0.75" header="0.3" footer="0.3"/>
  <pageSetup paperSize="9" scale="66" orientation="portrait" r:id="rId1"/>
  <rowBreaks count="1" manualBreakCount="1">
    <brk id="58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/>
  </sheetPr>
  <dimension ref="A1:AA57"/>
  <sheetViews>
    <sheetView showGridLines="0" view="pageBreakPreview" topLeftCell="S22" zoomScaleNormal="100" zoomScaleSheetLayoutView="100" workbookViewId="0">
      <selection activeCell="O26" sqref="O26:AA27"/>
    </sheetView>
  </sheetViews>
  <sheetFormatPr defaultRowHeight="15" x14ac:dyDescent="0.25"/>
  <cols>
    <col min="3" max="3" width="9.5703125" hidden="1" customWidth="1"/>
    <col min="4" max="5" width="10.5703125" bestFit="1" customWidth="1"/>
    <col min="6" max="6" width="11.140625" bestFit="1" customWidth="1"/>
    <col min="7" max="7" width="9.5703125" customWidth="1"/>
    <col min="16" max="22" width="9.5703125" bestFit="1" customWidth="1"/>
    <col min="23" max="27" width="9.28515625" bestFit="1" customWidth="1"/>
  </cols>
  <sheetData>
    <row r="1" spans="1:13" s="26" customFormat="1" ht="46.5" x14ac:dyDescent="0.7">
      <c r="A1" s="34" t="str">
        <f ca="1">RIGHT(CELL("filename",A1),LEN(CELL("filename",A1))-FIND("]",CELL("filename",A1)))</f>
        <v>Diesel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x14ac:dyDescent="0.25">
      <c r="A2" s="15" t="s">
        <v>26</v>
      </c>
    </row>
    <row r="3" spans="1:13" x14ac:dyDescent="0.25">
      <c r="A3" s="24"/>
    </row>
    <row r="4" spans="1:13" x14ac:dyDescent="0.25">
      <c r="B4" s="14"/>
      <c r="C4" s="32" t="s">
        <v>17</v>
      </c>
      <c r="D4" s="32"/>
      <c r="E4" s="32"/>
      <c r="F4" s="32"/>
      <c r="G4" s="32"/>
    </row>
    <row r="5" spans="1:13" x14ac:dyDescent="0.25">
      <c r="B5" s="33" t="s">
        <v>15</v>
      </c>
      <c r="C5" s="13">
        <v>2022</v>
      </c>
      <c r="D5" s="13">
        <v>2023</v>
      </c>
      <c r="E5" s="13">
        <v>2024</v>
      </c>
      <c r="F5" s="13">
        <v>2025</v>
      </c>
      <c r="G5" s="13">
        <v>2026</v>
      </c>
    </row>
    <row r="6" spans="1:13" x14ac:dyDescent="0.25">
      <c r="B6" s="33"/>
      <c r="C6" s="13" t="s">
        <v>25</v>
      </c>
      <c r="D6" s="12" t="s">
        <v>25</v>
      </c>
      <c r="E6" s="12" t="s">
        <v>25</v>
      </c>
      <c r="F6" s="12" t="s">
        <v>25</v>
      </c>
      <c r="G6" s="12" t="s">
        <v>25</v>
      </c>
    </row>
    <row r="7" spans="1:13" x14ac:dyDescent="0.25">
      <c r="B7" s="11" t="s">
        <v>12</v>
      </c>
      <c r="C7" s="27">
        <v>2890.3395348837207</v>
      </c>
      <c r="D7" s="7">
        <v>2942.1697107203627</v>
      </c>
      <c r="E7" s="6">
        <v>3272.9069767441861</v>
      </c>
      <c r="F7" s="36">
        <v>4610.628955768354</v>
      </c>
      <c r="G7" s="4">
        <v>3569.1941080963188</v>
      </c>
    </row>
    <row r="8" spans="1:13" x14ac:dyDescent="0.25">
      <c r="B8" s="11" t="s">
        <v>11</v>
      </c>
      <c r="C8" s="27">
        <v>2143.427906976744</v>
      </c>
      <c r="D8" s="7">
        <v>3357.5711854792967</v>
      </c>
      <c r="E8" s="6">
        <v>3225.4465116279071</v>
      </c>
      <c r="F8" s="36">
        <v>4207.0283311393887</v>
      </c>
      <c r="G8" s="4">
        <v>3057.1355178284161</v>
      </c>
    </row>
    <row r="9" spans="1:13" x14ac:dyDescent="0.25">
      <c r="B9" s="11" t="s">
        <v>10</v>
      </c>
      <c r="C9" s="27">
        <v>2888.4511627906977</v>
      </c>
      <c r="D9" s="7">
        <v>3837.7208167895633</v>
      </c>
      <c r="E9" s="6">
        <v>3525.8883720930235</v>
      </c>
      <c r="F9" s="36">
        <v>5343.6490091394444</v>
      </c>
      <c r="G9" s="4">
        <v>3064.4512577123874</v>
      </c>
    </row>
    <row r="10" spans="1:13" x14ac:dyDescent="0.25">
      <c r="B10" s="11" t="s">
        <v>9</v>
      </c>
      <c r="C10" s="27">
        <v>2759.9720930232556</v>
      </c>
      <c r="D10" s="7">
        <v>3550.2955190017019</v>
      </c>
      <c r="E10" s="6">
        <v>3239.1953488372092</v>
      </c>
      <c r="F10" s="36">
        <v>4343.8254961976581</v>
      </c>
      <c r="G10" s="4">
        <v>3598.4794786608741</v>
      </c>
    </row>
    <row r="11" spans="1:13" x14ac:dyDescent="0.25">
      <c r="B11" s="11" t="s">
        <v>8</v>
      </c>
      <c r="C11" s="27">
        <v>3027.7255813953489</v>
      </c>
      <c r="D11" s="7">
        <v>4252.0696539988658</v>
      </c>
      <c r="E11" s="6">
        <v>3521.9720930232556</v>
      </c>
      <c r="F11" s="36">
        <v>4438.1962565427684</v>
      </c>
      <c r="G11" s="4">
        <f>3344.589+366.848</f>
        <v>3711.4369999999999</v>
      </c>
    </row>
    <row r="12" spans="1:13" x14ac:dyDescent="0.25">
      <c r="B12" s="11" t="s">
        <v>7</v>
      </c>
      <c r="C12" s="27">
        <v>2910.6232558139536</v>
      </c>
      <c r="D12" s="7">
        <v>3640.4213272830402</v>
      </c>
      <c r="E12" s="6">
        <v>4684.0266002955586</v>
      </c>
      <c r="F12" s="36">
        <v>4533.9134990644216</v>
      </c>
      <c r="G12" s="4">
        <v>3353.0680000000002</v>
      </c>
    </row>
    <row r="13" spans="1:13" x14ac:dyDescent="0.25">
      <c r="B13" s="11" t="s">
        <v>6</v>
      </c>
      <c r="C13" s="27">
        <v>3094.4790697674421</v>
      </c>
      <c r="D13" s="7">
        <v>3946.4300623936474</v>
      </c>
      <c r="E13" s="6">
        <v>5528.3950711558491</v>
      </c>
      <c r="F13" s="36">
        <v>4080.3315402950466</v>
      </c>
      <c r="G13" s="4">
        <f>3407.893+459.201</f>
        <v>3867.0940000000001</v>
      </c>
    </row>
    <row r="14" spans="1:13" x14ac:dyDescent="0.25">
      <c r="B14" s="11" t="s">
        <v>5</v>
      </c>
      <c r="C14" s="27">
        <v>3109.618604651163</v>
      </c>
      <c r="D14" s="7">
        <v>3783.271809415769</v>
      </c>
      <c r="E14" s="6">
        <v>5764.1517432978781</v>
      </c>
      <c r="F14" s="36">
        <v>2799.8428783585264</v>
      </c>
      <c r="G14" s="4"/>
    </row>
    <row r="15" spans="1:13" x14ac:dyDescent="0.25">
      <c r="B15" s="11" t="s">
        <v>4</v>
      </c>
      <c r="C15" s="27">
        <v>3155.586046511628</v>
      </c>
      <c r="D15" s="7">
        <v>3745.9813953488369</v>
      </c>
      <c r="E15" s="6">
        <v>5210.7741710723358</v>
      </c>
      <c r="F15" s="36">
        <v>2602.1054498311432</v>
      </c>
      <c r="G15" s="4"/>
    </row>
    <row r="16" spans="1:13" x14ac:dyDescent="0.25">
      <c r="B16" s="11" t="s">
        <v>3</v>
      </c>
      <c r="C16" s="27">
        <v>3105.2325581395348</v>
      </c>
      <c r="D16" s="7">
        <v>3705.8</v>
      </c>
      <c r="E16" s="6">
        <v>5097.4316121403244</v>
      </c>
      <c r="F16" s="36">
        <v>3095.7686802604144</v>
      </c>
      <c r="G16" s="4"/>
    </row>
    <row r="17" spans="1:27" x14ac:dyDescent="0.25">
      <c r="B17" s="11" t="s">
        <v>2</v>
      </c>
      <c r="C17" s="27">
        <v>2908.0558139534887</v>
      </c>
      <c r="D17" s="7">
        <v>3329.9777651730005</v>
      </c>
      <c r="E17" s="6">
        <v>4795.3554592037854</v>
      </c>
      <c r="F17" s="36">
        <v>2610.0609047404614</v>
      </c>
      <c r="G17" s="4"/>
    </row>
    <row r="18" spans="1:27" x14ac:dyDescent="0.25">
      <c r="B18" s="11" t="s">
        <v>1</v>
      </c>
      <c r="C18" s="27">
        <v>2905.4279069767445</v>
      </c>
      <c r="D18" s="7">
        <v>2965.606125921724</v>
      </c>
      <c r="E18" s="6">
        <v>4566.7646826960981</v>
      </c>
      <c r="F18" s="36">
        <v>2814.2053112287977</v>
      </c>
      <c r="G18" s="4"/>
    </row>
    <row r="19" spans="1:27" x14ac:dyDescent="0.25">
      <c r="B19" s="3" t="s">
        <v>0</v>
      </c>
      <c r="C19" s="16">
        <f>SUM(C7:C18)</f>
        <v>34898.939534883721</v>
      </c>
      <c r="D19" s="16">
        <f>SUM(D7:D18)</f>
        <v>43057.315371525809</v>
      </c>
      <c r="E19" s="16">
        <f>SUM(E7:E18)</f>
        <v>52432.30864218741</v>
      </c>
      <c r="F19" s="16">
        <f>SUM(F7:F18)</f>
        <v>45479.556312566419</v>
      </c>
      <c r="G19" s="16">
        <f>SUM(G7:G18)</f>
        <v>24220.859362297997</v>
      </c>
    </row>
    <row r="21" spans="1:27" x14ac:dyDescent="0.25">
      <c r="A21" s="15" t="s">
        <v>21</v>
      </c>
    </row>
    <row r="23" spans="1:27" x14ac:dyDescent="0.25">
      <c r="B23" s="14"/>
      <c r="C23" s="32" t="s">
        <v>17</v>
      </c>
      <c r="D23" s="32"/>
      <c r="E23" s="32"/>
      <c r="F23" s="32"/>
      <c r="G23" s="32"/>
    </row>
    <row r="24" spans="1:27" x14ac:dyDescent="0.25">
      <c r="B24" s="33" t="s">
        <v>15</v>
      </c>
      <c r="C24" s="13">
        <v>2022</v>
      </c>
      <c r="D24" s="13">
        <v>2023</v>
      </c>
      <c r="E24" s="13">
        <v>2024</v>
      </c>
      <c r="F24" s="13">
        <v>2025</v>
      </c>
      <c r="G24" s="13">
        <v>2026</v>
      </c>
    </row>
    <row r="25" spans="1:27" x14ac:dyDescent="0.25">
      <c r="B25" s="33"/>
      <c r="C25" s="12" t="s">
        <v>20</v>
      </c>
      <c r="D25" s="12" t="s">
        <v>20</v>
      </c>
      <c r="E25" s="12" t="s">
        <v>20</v>
      </c>
      <c r="F25" s="12" t="s">
        <v>20</v>
      </c>
      <c r="G25" s="12" t="s">
        <v>20</v>
      </c>
    </row>
    <row r="26" spans="1:27" x14ac:dyDescent="0.25">
      <c r="B26" s="11" t="s">
        <v>12</v>
      </c>
      <c r="C26" s="10">
        <f t="shared" ref="C26:C37" si="0">C7*0.84</f>
        <v>2427.8852093023252</v>
      </c>
      <c r="D26" s="7">
        <f t="shared" ref="D26:G37" si="1">ROUND(D7*0.84,3)</f>
        <v>2471.4229999999998</v>
      </c>
      <c r="E26" s="6">
        <f t="shared" si="1"/>
        <v>2749.2420000000002</v>
      </c>
      <c r="F26" s="5">
        <f t="shared" si="1"/>
        <v>3872.9279999999999</v>
      </c>
      <c r="G26" s="4">
        <f t="shared" si="1"/>
        <v>2998.123</v>
      </c>
      <c r="O26">
        <v>2025</v>
      </c>
      <c r="P26" s="38">
        <v>3872.9279999999999</v>
      </c>
      <c r="Q26" s="38">
        <v>3533.904</v>
      </c>
      <c r="R26" s="38">
        <v>4488.665</v>
      </c>
      <c r="S26" s="38">
        <v>3648.8130000000001</v>
      </c>
      <c r="T26" s="38">
        <v>3728.085</v>
      </c>
      <c r="U26" s="38">
        <v>3808.4870000000001</v>
      </c>
      <c r="V26" s="38">
        <v>3427.4780000000001</v>
      </c>
      <c r="W26" s="38">
        <v>2351.8679999999999</v>
      </c>
      <c r="X26" s="38">
        <v>2185.7689999999998</v>
      </c>
      <c r="Y26" s="38">
        <v>2600.4459999999999</v>
      </c>
      <c r="Z26" s="38">
        <v>2192.451</v>
      </c>
      <c r="AA26" s="38">
        <v>2363.9319999999998</v>
      </c>
    </row>
    <row r="27" spans="1:27" x14ac:dyDescent="0.25">
      <c r="B27" s="11" t="s">
        <v>11</v>
      </c>
      <c r="C27" s="10">
        <f t="shared" si="0"/>
        <v>1800.4794418604649</v>
      </c>
      <c r="D27" s="7">
        <f t="shared" si="1"/>
        <v>2820.36</v>
      </c>
      <c r="E27" s="6">
        <f t="shared" si="1"/>
        <v>2709.375</v>
      </c>
      <c r="F27" s="5">
        <f t="shared" si="1"/>
        <v>3533.904</v>
      </c>
      <c r="G27" s="4">
        <f t="shared" si="1"/>
        <v>2567.9940000000001</v>
      </c>
      <c r="O27">
        <v>2026</v>
      </c>
      <c r="P27" s="38">
        <v>2998.123</v>
      </c>
      <c r="Q27" s="38">
        <v>2567.9940000000001</v>
      </c>
      <c r="R27" s="38">
        <v>2574.1390000000001</v>
      </c>
      <c r="S27" s="38">
        <v>3022.723</v>
      </c>
      <c r="T27" s="38">
        <v>3117.607</v>
      </c>
      <c r="U27" s="38">
        <v>2816.5770000000002</v>
      </c>
      <c r="V27" s="38">
        <v>3248.3589999999999</v>
      </c>
      <c r="W27" s="38">
        <v>0</v>
      </c>
      <c r="X27" s="38">
        <v>0</v>
      </c>
      <c r="Y27" s="38">
        <v>0</v>
      </c>
      <c r="Z27" s="38">
        <v>0</v>
      </c>
      <c r="AA27" s="38">
        <v>0</v>
      </c>
    </row>
    <row r="28" spans="1:27" x14ac:dyDescent="0.25">
      <c r="B28" s="11" t="s">
        <v>10</v>
      </c>
      <c r="C28" s="10">
        <f t="shared" si="0"/>
        <v>2426.2989767441859</v>
      </c>
      <c r="D28" s="7">
        <f t="shared" si="1"/>
        <v>3223.6849999999999</v>
      </c>
      <c r="E28" s="6">
        <f t="shared" si="1"/>
        <v>2961.7460000000001</v>
      </c>
      <c r="F28" s="5">
        <f t="shared" si="1"/>
        <v>4488.665</v>
      </c>
      <c r="G28" s="4">
        <f t="shared" si="1"/>
        <v>2574.1390000000001</v>
      </c>
    </row>
    <row r="29" spans="1:27" x14ac:dyDescent="0.25">
      <c r="B29" s="11" t="s">
        <v>9</v>
      </c>
      <c r="C29" s="10">
        <f t="shared" si="0"/>
        <v>2318.3765581395346</v>
      </c>
      <c r="D29" s="7">
        <f t="shared" si="1"/>
        <v>2982.248</v>
      </c>
      <c r="E29" s="6">
        <f t="shared" si="1"/>
        <v>2720.924</v>
      </c>
      <c r="F29" s="5">
        <f t="shared" si="1"/>
        <v>3648.8130000000001</v>
      </c>
      <c r="G29" s="4">
        <f t="shared" si="1"/>
        <v>3022.723</v>
      </c>
    </row>
    <row r="30" spans="1:27" x14ac:dyDescent="0.25">
      <c r="B30" s="11" t="s">
        <v>8</v>
      </c>
      <c r="C30" s="10">
        <f t="shared" si="0"/>
        <v>2543.2894883720928</v>
      </c>
      <c r="D30" s="7">
        <f t="shared" si="1"/>
        <v>3571.739</v>
      </c>
      <c r="E30" s="6">
        <f t="shared" si="1"/>
        <v>2958.4569999999999</v>
      </c>
      <c r="F30" s="5">
        <f t="shared" si="1"/>
        <v>3728.085</v>
      </c>
      <c r="G30" s="4">
        <f t="shared" si="1"/>
        <v>3117.607</v>
      </c>
    </row>
    <row r="31" spans="1:27" x14ac:dyDescent="0.25">
      <c r="B31" s="11" t="s">
        <v>7</v>
      </c>
      <c r="C31" s="10">
        <f t="shared" si="0"/>
        <v>2444.923534883721</v>
      </c>
      <c r="D31" s="7">
        <f t="shared" si="1"/>
        <v>3057.9540000000002</v>
      </c>
      <c r="E31" s="6">
        <f t="shared" si="1"/>
        <v>3934.5819999999999</v>
      </c>
      <c r="F31" s="5">
        <f t="shared" si="1"/>
        <v>3808.4870000000001</v>
      </c>
      <c r="G31" s="4">
        <f t="shared" si="1"/>
        <v>2816.5770000000002</v>
      </c>
    </row>
    <row r="32" spans="1:27" x14ac:dyDescent="0.25">
      <c r="B32" s="11" t="s">
        <v>6</v>
      </c>
      <c r="C32" s="10">
        <f t="shared" si="0"/>
        <v>2599.3624186046513</v>
      </c>
      <c r="D32" s="7">
        <f t="shared" si="1"/>
        <v>3315.0010000000002</v>
      </c>
      <c r="E32" s="6">
        <f t="shared" si="1"/>
        <v>4643.8519999999999</v>
      </c>
      <c r="F32" s="5">
        <f t="shared" si="1"/>
        <v>3427.4780000000001</v>
      </c>
      <c r="G32" s="4">
        <f t="shared" si="1"/>
        <v>3248.3589999999999</v>
      </c>
    </row>
    <row r="33" spans="1:7" x14ac:dyDescent="0.25">
      <c r="B33" s="11" t="s">
        <v>5</v>
      </c>
      <c r="C33" s="10">
        <f t="shared" si="0"/>
        <v>2612.0796279069768</v>
      </c>
      <c r="D33" s="7">
        <f t="shared" si="1"/>
        <v>3177.9479999999999</v>
      </c>
      <c r="E33" s="6">
        <f t="shared" si="1"/>
        <v>4841.8869999999997</v>
      </c>
      <c r="F33" s="5">
        <f t="shared" si="1"/>
        <v>2351.8679999999999</v>
      </c>
      <c r="G33" s="4">
        <f t="shared" si="1"/>
        <v>0</v>
      </c>
    </row>
    <row r="34" spans="1:7" x14ac:dyDescent="0.25">
      <c r="B34" s="11" t="s">
        <v>4</v>
      </c>
      <c r="C34" s="10">
        <f t="shared" si="0"/>
        <v>2650.6922790697672</v>
      </c>
      <c r="D34" s="7">
        <f t="shared" si="1"/>
        <v>3146.6239999999998</v>
      </c>
      <c r="E34" s="6">
        <f t="shared" si="1"/>
        <v>4377.05</v>
      </c>
      <c r="F34" s="5">
        <f t="shared" si="1"/>
        <v>2185.7689999999998</v>
      </c>
      <c r="G34" s="4">
        <f t="shared" si="1"/>
        <v>0</v>
      </c>
    </row>
    <row r="35" spans="1:7" x14ac:dyDescent="0.25">
      <c r="B35" s="11" t="s">
        <v>3</v>
      </c>
      <c r="C35" s="10">
        <f t="shared" si="0"/>
        <v>2608.395348837209</v>
      </c>
      <c r="D35" s="7">
        <f t="shared" si="1"/>
        <v>3112.8719999999998</v>
      </c>
      <c r="E35" s="6">
        <f t="shared" si="1"/>
        <v>4281.8429999999998</v>
      </c>
      <c r="F35" s="5">
        <f t="shared" si="1"/>
        <v>2600.4459999999999</v>
      </c>
      <c r="G35" s="4">
        <f t="shared" si="1"/>
        <v>0</v>
      </c>
    </row>
    <row r="36" spans="1:7" x14ac:dyDescent="0.25">
      <c r="B36" s="11" t="s">
        <v>2</v>
      </c>
      <c r="C36" s="10">
        <f t="shared" si="0"/>
        <v>2442.7668837209303</v>
      </c>
      <c r="D36" s="7">
        <f t="shared" si="1"/>
        <v>2797.181</v>
      </c>
      <c r="E36" s="6">
        <f t="shared" si="1"/>
        <v>4028.0990000000002</v>
      </c>
      <c r="F36" s="5">
        <f t="shared" si="1"/>
        <v>2192.451</v>
      </c>
      <c r="G36" s="4">
        <f t="shared" si="1"/>
        <v>0</v>
      </c>
    </row>
    <row r="37" spans="1:7" x14ac:dyDescent="0.25">
      <c r="B37" s="11" t="s">
        <v>1</v>
      </c>
      <c r="C37" s="10">
        <f t="shared" si="0"/>
        <v>2440.5594418604651</v>
      </c>
      <c r="D37" s="7">
        <f t="shared" si="1"/>
        <v>2491.1089999999999</v>
      </c>
      <c r="E37" s="6">
        <f t="shared" si="1"/>
        <v>3836.0819999999999</v>
      </c>
      <c r="F37" s="5">
        <f t="shared" si="1"/>
        <v>2363.9319999999998</v>
      </c>
      <c r="G37" s="4">
        <f t="shared" si="1"/>
        <v>0</v>
      </c>
    </row>
    <row r="38" spans="1:7" x14ac:dyDescent="0.25">
      <c r="B38" s="3" t="s">
        <v>0</v>
      </c>
      <c r="C38" s="16">
        <f>SUM(C26:C37)</f>
        <v>29315.109209302325</v>
      </c>
      <c r="D38" s="16">
        <f>SUM(D26:D37)</f>
        <v>36168.143999999993</v>
      </c>
      <c r="E38" s="16">
        <v>34132.15</v>
      </c>
      <c r="F38" s="30">
        <f>SUM(F26:F37)</f>
        <v>38202.826000000001</v>
      </c>
      <c r="G38" s="16">
        <f>SUM(G26:G37)</f>
        <v>20345.522000000001</v>
      </c>
    </row>
    <row r="40" spans="1:7" x14ac:dyDescent="0.25">
      <c r="A40" s="15" t="s">
        <v>19</v>
      </c>
    </row>
    <row r="42" spans="1:7" x14ac:dyDescent="0.25">
      <c r="B42" s="14"/>
      <c r="C42" s="32" t="s">
        <v>17</v>
      </c>
      <c r="D42" s="32"/>
      <c r="E42" s="32"/>
      <c r="F42" s="32"/>
      <c r="G42" s="32"/>
    </row>
    <row r="43" spans="1:7" x14ac:dyDescent="0.25">
      <c r="B43" s="33" t="s">
        <v>15</v>
      </c>
      <c r="C43" s="13">
        <v>2022</v>
      </c>
      <c r="D43" s="13">
        <v>2023</v>
      </c>
      <c r="E43" s="13">
        <v>2024</v>
      </c>
      <c r="F43" s="13">
        <v>2025</v>
      </c>
      <c r="G43" s="13">
        <v>2026</v>
      </c>
    </row>
    <row r="44" spans="1:7" ht="18" x14ac:dyDescent="0.25">
      <c r="B44" s="33"/>
      <c r="C44" s="12" t="s">
        <v>13</v>
      </c>
      <c r="D44" s="12" t="s">
        <v>13</v>
      </c>
      <c r="E44" s="12" t="s">
        <v>13</v>
      </c>
      <c r="F44" s="12" t="s">
        <v>13</v>
      </c>
      <c r="G44" s="12" t="s">
        <v>13</v>
      </c>
    </row>
    <row r="45" spans="1:7" x14ac:dyDescent="0.25">
      <c r="B45" s="11" t="s">
        <v>12</v>
      </c>
      <c r="C45" s="10">
        <f t="shared" ref="C45:C56" si="2">C26*2.653/1000</f>
        <v>6.4411794602790691</v>
      </c>
      <c r="D45" s="7">
        <f t="shared" ref="D45:F48" si="3">ROUND(D26*2.653/1000,3)</f>
        <v>6.5570000000000004</v>
      </c>
      <c r="E45" s="6">
        <f t="shared" si="3"/>
        <v>7.2939999999999996</v>
      </c>
      <c r="F45" s="5">
        <f t="shared" si="3"/>
        <v>10.275</v>
      </c>
      <c r="G45" s="4">
        <f t="shared" ref="G45:G56" si="4">ROUND(G26*2.70533/1000,3)</f>
        <v>8.1110000000000007</v>
      </c>
    </row>
    <row r="46" spans="1:7" x14ac:dyDescent="0.25">
      <c r="B46" s="11" t="s">
        <v>11</v>
      </c>
      <c r="C46" s="10">
        <f t="shared" si="2"/>
        <v>4.7766719592558138</v>
      </c>
      <c r="D46" s="7">
        <f t="shared" si="3"/>
        <v>7.4820000000000002</v>
      </c>
      <c r="E46" s="6">
        <f t="shared" si="3"/>
        <v>7.1879999999999997</v>
      </c>
      <c r="F46" s="5">
        <f t="shared" si="3"/>
        <v>9.375</v>
      </c>
      <c r="G46" s="4">
        <f t="shared" si="4"/>
        <v>6.9470000000000001</v>
      </c>
    </row>
    <row r="47" spans="1:7" x14ac:dyDescent="0.25">
      <c r="B47" s="11" t="s">
        <v>10</v>
      </c>
      <c r="C47" s="10">
        <f t="shared" si="2"/>
        <v>6.4369711853023253</v>
      </c>
      <c r="D47" s="7">
        <f t="shared" si="3"/>
        <v>8.5519999999999996</v>
      </c>
      <c r="E47" s="6">
        <f t="shared" si="3"/>
        <v>7.8579999999999997</v>
      </c>
      <c r="F47" s="5">
        <f t="shared" si="3"/>
        <v>11.907999999999999</v>
      </c>
      <c r="G47" s="4">
        <f t="shared" si="4"/>
        <v>6.9640000000000004</v>
      </c>
    </row>
    <row r="48" spans="1:7" x14ac:dyDescent="0.25">
      <c r="B48" s="11" t="s">
        <v>9</v>
      </c>
      <c r="C48" s="10">
        <f t="shared" si="2"/>
        <v>6.1506530087441851</v>
      </c>
      <c r="D48" s="7">
        <f t="shared" si="3"/>
        <v>7.9119999999999999</v>
      </c>
      <c r="E48" s="6">
        <f t="shared" si="3"/>
        <v>7.2190000000000003</v>
      </c>
      <c r="F48" s="5">
        <f t="shared" si="3"/>
        <v>9.68</v>
      </c>
      <c r="G48" s="4">
        <f t="shared" si="4"/>
        <v>8.1769999999999996</v>
      </c>
    </row>
    <row r="49" spans="2:7" x14ac:dyDescent="0.25">
      <c r="B49" s="11" t="s">
        <v>8</v>
      </c>
      <c r="C49" s="10">
        <f t="shared" si="2"/>
        <v>6.7473470126511623</v>
      </c>
      <c r="D49" s="7">
        <f t="shared" ref="D49:E56" si="5">ROUND(D30*2.653/1000,3)</f>
        <v>9.4760000000000009</v>
      </c>
      <c r="E49" s="6">
        <f t="shared" si="5"/>
        <v>7.8490000000000002</v>
      </c>
      <c r="F49" s="5">
        <f t="shared" ref="F49:F56" si="6">ROUND(F30*2.70533/1000,3)</f>
        <v>10.086</v>
      </c>
      <c r="G49" s="4">
        <f t="shared" si="4"/>
        <v>8.4339999999999993</v>
      </c>
    </row>
    <row r="50" spans="2:7" x14ac:dyDescent="0.25">
      <c r="B50" s="11" t="s">
        <v>7</v>
      </c>
      <c r="C50" s="10">
        <f t="shared" si="2"/>
        <v>6.4863821380465119</v>
      </c>
      <c r="D50" s="7">
        <f t="shared" si="5"/>
        <v>8.1129999999999995</v>
      </c>
      <c r="E50" s="6">
        <f t="shared" si="5"/>
        <v>10.438000000000001</v>
      </c>
      <c r="F50" s="5">
        <f t="shared" si="6"/>
        <v>10.303000000000001</v>
      </c>
      <c r="G50" s="4">
        <f t="shared" si="4"/>
        <v>7.62</v>
      </c>
    </row>
    <row r="51" spans="2:7" x14ac:dyDescent="0.25">
      <c r="B51" s="11" t="s">
        <v>6</v>
      </c>
      <c r="C51" s="10">
        <f t="shared" si="2"/>
        <v>6.8961084965581403</v>
      </c>
      <c r="D51" s="7">
        <f t="shared" si="5"/>
        <v>8.7949999999999999</v>
      </c>
      <c r="E51" s="6">
        <f t="shared" si="5"/>
        <v>12.32</v>
      </c>
      <c r="F51" s="5">
        <f t="shared" si="6"/>
        <v>9.2720000000000002</v>
      </c>
      <c r="G51" s="4">
        <f t="shared" si="4"/>
        <v>8.7880000000000003</v>
      </c>
    </row>
    <row r="52" spans="2:7" x14ac:dyDescent="0.25">
      <c r="B52" s="11" t="s">
        <v>5</v>
      </c>
      <c r="C52" s="10">
        <f t="shared" si="2"/>
        <v>6.9298472528372095</v>
      </c>
      <c r="D52" s="7">
        <f t="shared" si="5"/>
        <v>8.4309999999999992</v>
      </c>
      <c r="E52" s="6">
        <f t="shared" si="5"/>
        <v>12.846</v>
      </c>
      <c r="F52" s="5">
        <f t="shared" si="6"/>
        <v>6.3630000000000004</v>
      </c>
      <c r="G52" s="4">
        <f t="shared" si="4"/>
        <v>0</v>
      </c>
    </row>
    <row r="53" spans="2:7" x14ac:dyDescent="0.25">
      <c r="B53" s="11" t="s">
        <v>4</v>
      </c>
      <c r="C53" s="10">
        <f t="shared" si="2"/>
        <v>7.032286616372093</v>
      </c>
      <c r="D53" s="7">
        <f t="shared" si="5"/>
        <v>8.3480000000000008</v>
      </c>
      <c r="E53" s="6">
        <f t="shared" si="5"/>
        <v>11.612</v>
      </c>
      <c r="F53" s="5">
        <f t="shared" si="6"/>
        <v>5.9130000000000003</v>
      </c>
      <c r="G53" s="4">
        <f t="shared" si="4"/>
        <v>0</v>
      </c>
    </row>
    <row r="54" spans="2:7" x14ac:dyDescent="0.25">
      <c r="B54" s="11" t="s">
        <v>3</v>
      </c>
      <c r="C54" s="10">
        <f t="shared" si="2"/>
        <v>6.9200728604651154</v>
      </c>
      <c r="D54" s="7">
        <f t="shared" si="5"/>
        <v>8.2579999999999991</v>
      </c>
      <c r="E54" s="6">
        <f t="shared" si="5"/>
        <v>11.36</v>
      </c>
      <c r="F54" s="5">
        <f t="shared" si="6"/>
        <v>7.0350000000000001</v>
      </c>
      <c r="G54" s="4">
        <f t="shared" si="4"/>
        <v>0</v>
      </c>
    </row>
    <row r="55" spans="2:7" x14ac:dyDescent="0.25">
      <c r="B55" s="11" t="s">
        <v>2</v>
      </c>
      <c r="C55" s="10">
        <f t="shared" si="2"/>
        <v>6.4806605425116288</v>
      </c>
      <c r="D55" s="7">
        <f t="shared" si="5"/>
        <v>7.4210000000000003</v>
      </c>
      <c r="E55" s="6">
        <f t="shared" si="5"/>
        <v>10.686999999999999</v>
      </c>
      <c r="F55" s="5">
        <f t="shared" si="6"/>
        <v>5.931</v>
      </c>
      <c r="G55" s="4">
        <f t="shared" si="4"/>
        <v>0</v>
      </c>
    </row>
    <row r="56" spans="2:7" x14ac:dyDescent="0.25">
      <c r="B56" s="11" t="s">
        <v>1</v>
      </c>
      <c r="C56" s="10">
        <f t="shared" si="2"/>
        <v>6.4748041992558134</v>
      </c>
      <c r="D56" s="7">
        <f t="shared" si="5"/>
        <v>6.609</v>
      </c>
      <c r="E56" s="6">
        <f t="shared" si="5"/>
        <v>10.177</v>
      </c>
      <c r="F56" s="5">
        <f t="shared" si="6"/>
        <v>6.3949999999999996</v>
      </c>
      <c r="G56" s="4">
        <f t="shared" si="4"/>
        <v>0</v>
      </c>
    </row>
    <row r="57" spans="2:7" x14ac:dyDescent="0.25">
      <c r="B57" s="3" t="s">
        <v>0</v>
      </c>
      <c r="C57" s="1">
        <f>SUM(C45:C56)</f>
        <v>77.772984732279056</v>
      </c>
      <c r="D57" s="1">
        <f>SUM(D45:D56)</f>
        <v>95.953999999999994</v>
      </c>
      <c r="E57" s="1">
        <f>SUM(E45:E56)</f>
        <v>116.84799999999998</v>
      </c>
      <c r="F57" s="1">
        <f>SUM(F45:F56)</f>
        <v>102.53599999999999</v>
      </c>
      <c r="G57" s="1">
        <f>SUM(G45:G56)</f>
        <v>55.040999999999997</v>
      </c>
    </row>
  </sheetData>
  <mergeCells count="7">
    <mergeCell ref="B43:B44"/>
    <mergeCell ref="A1:M1"/>
    <mergeCell ref="B5:B6"/>
    <mergeCell ref="B24:B25"/>
    <mergeCell ref="C4:G4"/>
    <mergeCell ref="C23:G23"/>
    <mergeCell ref="C42:G42"/>
  </mergeCells>
  <pageMargins left="0.7" right="0.7" top="0.75" bottom="0.75" header="0.3" footer="0.3"/>
  <pageSetup paperSize="9" scale="71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AJ57"/>
  <sheetViews>
    <sheetView showGridLines="0" tabSelected="1" view="pageBreakPreview" topLeftCell="F24" zoomScaleNormal="100" zoomScaleSheetLayoutView="100" workbookViewId="0">
      <selection activeCell="AE34" sqref="AE34:AJ35"/>
    </sheetView>
  </sheetViews>
  <sheetFormatPr defaultRowHeight="15" x14ac:dyDescent="0.25"/>
  <cols>
    <col min="3" max="3" width="0" hidden="1" customWidth="1"/>
    <col min="4" max="5" width="10.5703125" bestFit="1" customWidth="1"/>
    <col min="6" max="6" width="9.5703125" bestFit="1" customWidth="1"/>
    <col min="7" max="7" width="9.5703125" customWidth="1"/>
    <col min="11" max="22" width="9.5703125" bestFit="1" customWidth="1"/>
  </cols>
  <sheetData>
    <row r="1" spans="1:13" s="26" customFormat="1" ht="46.5" x14ac:dyDescent="0.7">
      <c r="A1" s="34" t="str">
        <f ca="1">RIGHT(CELL("filename",A1),LEN(CELL("filename",A1))-FIND("]",CELL("filename",A1)))</f>
        <v>Petrol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x14ac:dyDescent="0.25">
      <c r="A2" s="15" t="s">
        <v>26</v>
      </c>
    </row>
    <row r="3" spans="1:13" x14ac:dyDescent="0.25">
      <c r="A3" s="24"/>
    </row>
    <row r="4" spans="1:13" x14ac:dyDescent="0.25">
      <c r="B4" s="14"/>
      <c r="C4" s="35" t="s">
        <v>17</v>
      </c>
      <c r="D4" s="35"/>
      <c r="E4" s="35"/>
      <c r="F4" s="35"/>
      <c r="G4" s="35"/>
    </row>
    <row r="5" spans="1:13" x14ac:dyDescent="0.25">
      <c r="B5" s="33" t="s">
        <v>15</v>
      </c>
      <c r="C5" s="13" t="s">
        <v>27</v>
      </c>
      <c r="D5" s="13">
        <v>2023</v>
      </c>
      <c r="E5" s="13">
        <v>2024</v>
      </c>
      <c r="F5" s="13">
        <v>2025</v>
      </c>
      <c r="G5" s="13">
        <v>2026</v>
      </c>
    </row>
    <row r="6" spans="1:13" x14ac:dyDescent="0.25">
      <c r="B6" s="33"/>
      <c r="C6" s="13" t="s">
        <v>25</v>
      </c>
      <c r="D6" s="12" t="s">
        <v>25</v>
      </c>
      <c r="E6" s="12" t="s">
        <v>25</v>
      </c>
      <c r="F6" s="12" t="s">
        <v>25</v>
      </c>
      <c r="G6" s="12" t="s">
        <v>25</v>
      </c>
    </row>
    <row r="7" spans="1:13" x14ac:dyDescent="0.25">
      <c r="B7" s="11" t="s">
        <v>12</v>
      </c>
      <c r="C7" s="27">
        <v>373.60536585365855</v>
      </c>
      <c r="D7" s="7">
        <v>3683.1170731707316</v>
      </c>
      <c r="E7" s="6">
        <v>4186.8536585365846</v>
      </c>
      <c r="F7" s="36">
        <v>3598.81</v>
      </c>
      <c r="G7" s="4">
        <v>2781.6</v>
      </c>
    </row>
    <row r="8" spans="1:13" x14ac:dyDescent="0.25">
      <c r="B8" s="11" t="s">
        <v>11</v>
      </c>
      <c r="C8" s="27">
        <v>290.89707317073169</v>
      </c>
      <c r="D8" s="7">
        <v>3483.6585365853666</v>
      </c>
      <c r="E8" s="6">
        <v>4225.6292682926842</v>
      </c>
      <c r="F8" s="36">
        <v>3301.12</v>
      </c>
      <c r="G8" s="4">
        <v>2688.3</v>
      </c>
    </row>
    <row r="9" spans="1:13" x14ac:dyDescent="0.25">
      <c r="B9" s="11" t="s">
        <v>10</v>
      </c>
      <c r="C9" s="27">
        <v>366.33707317073174</v>
      </c>
      <c r="D9" s="7">
        <v>4000.2341463414632</v>
      </c>
      <c r="E9" s="6">
        <v>3873</v>
      </c>
      <c r="F9" s="36">
        <v>3925.21</v>
      </c>
      <c r="G9" s="4">
        <v>2084.84</v>
      </c>
    </row>
    <row r="10" spans="1:13" x14ac:dyDescent="0.25">
      <c r="B10" s="11" t="s">
        <v>9</v>
      </c>
      <c r="C10" s="27">
        <v>396.36097560975611</v>
      </c>
      <c r="D10" s="7">
        <v>3283.3219512195124</v>
      </c>
      <c r="E10" s="6">
        <v>4364.8780487804879</v>
      </c>
      <c r="F10" s="36">
        <v>3198.54</v>
      </c>
      <c r="G10" s="4">
        <v>2830.7</v>
      </c>
    </row>
    <row r="11" spans="1:13" x14ac:dyDescent="0.25">
      <c r="B11" s="11" t="s">
        <v>8</v>
      </c>
      <c r="C11" s="27">
        <v>404.20634146341462</v>
      </c>
      <c r="D11" s="7">
        <v>4438.8292682926831</v>
      </c>
      <c r="E11" s="6">
        <v>4234.151219512195</v>
      </c>
      <c r="F11" s="36">
        <v>3293.69</v>
      </c>
      <c r="G11" s="4">
        <f>529.45+2384.009</f>
        <v>2913.4589999999998</v>
      </c>
    </row>
    <row r="12" spans="1:13" x14ac:dyDescent="0.25">
      <c r="B12" s="11" t="s">
        <v>7</v>
      </c>
      <c r="C12" s="27">
        <v>417.19024390243902</v>
      </c>
      <c r="D12" s="7">
        <v>4204.1121951219511</v>
      </c>
      <c r="E12" s="6">
        <v>3934.5951219512199</v>
      </c>
      <c r="F12" s="36">
        <v>3217.4</v>
      </c>
      <c r="G12" s="37">
        <v>2893.38</v>
      </c>
    </row>
    <row r="13" spans="1:13" x14ac:dyDescent="0.25">
      <c r="B13" s="11" t="s">
        <v>6</v>
      </c>
      <c r="C13" s="27">
        <v>473.47756097560989</v>
      </c>
      <c r="D13" s="7">
        <v>4560.6682926829271</v>
      </c>
      <c r="E13" s="6">
        <v>4178.7512195121953</v>
      </c>
      <c r="F13" s="36">
        <v>3904.64</v>
      </c>
      <c r="G13" s="4">
        <f>3307.689+586.701</f>
        <v>3894.39</v>
      </c>
    </row>
    <row r="14" spans="1:13" x14ac:dyDescent="0.25">
      <c r="B14" s="11" t="s">
        <v>5</v>
      </c>
      <c r="C14" s="27">
        <v>446.07853658536595</v>
      </c>
      <c r="D14" s="7">
        <v>4110.1073170731715</v>
      </c>
      <c r="E14" s="6">
        <v>4422.9121951219513</v>
      </c>
      <c r="F14" s="36">
        <v>3658.67</v>
      </c>
      <c r="G14" s="4"/>
    </row>
    <row r="15" spans="1:13" x14ac:dyDescent="0.25">
      <c r="B15" s="11" t="s">
        <v>4</v>
      </c>
      <c r="C15" s="27">
        <v>382.50292682926829</v>
      </c>
      <c r="D15" s="7">
        <v>4606.3560975609753</v>
      </c>
      <c r="E15" s="6">
        <v>3450.5365853658541</v>
      </c>
      <c r="F15" s="36">
        <v>3139.66</v>
      </c>
      <c r="G15" s="4"/>
    </row>
    <row r="16" spans="1:13" x14ac:dyDescent="0.25">
      <c r="B16" s="11" t="s">
        <v>3</v>
      </c>
      <c r="C16" s="27">
        <v>395.79707317073178</v>
      </c>
      <c r="D16" s="7">
        <v>4654.6390243902433</v>
      </c>
      <c r="E16" s="6">
        <v>4012.404878048781</v>
      </c>
      <c r="F16" s="36">
        <v>3816.82</v>
      </c>
      <c r="G16" s="4"/>
    </row>
    <row r="17" spans="1:36" x14ac:dyDescent="0.25">
      <c r="B17" s="11" t="s">
        <v>2</v>
      </c>
      <c r="C17" s="27">
        <v>380.36341463414635</v>
      </c>
      <c r="D17" s="7">
        <v>4178.9268292682918</v>
      </c>
      <c r="E17" s="6">
        <v>3586.2341463414637</v>
      </c>
      <c r="F17" s="36">
        <v>2470.4499999999998</v>
      </c>
      <c r="G17" s="4"/>
    </row>
    <row r="18" spans="1:36" x14ac:dyDescent="0.25">
      <c r="B18" s="11" t="s">
        <v>1</v>
      </c>
      <c r="C18" s="27">
        <v>386.66975609756099</v>
      </c>
      <c r="D18" s="7">
        <v>3702.0634146341467</v>
      </c>
      <c r="E18" s="6">
        <v>3010.7317073170734</v>
      </c>
      <c r="F18" s="36">
        <v>2587.2800000000002</v>
      </c>
      <c r="G18" s="4"/>
    </row>
    <row r="19" spans="1:36" x14ac:dyDescent="0.25">
      <c r="B19" s="3" t="s">
        <v>0</v>
      </c>
      <c r="C19" s="16">
        <f>SUM(C7:C18)</f>
        <v>4713.4863414634146</v>
      </c>
      <c r="D19" s="16">
        <f>SUM(D7:D18)</f>
        <v>48906.034146341459</v>
      </c>
      <c r="E19" s="16">
        <f>SUM(E7:E18)</f>
        <v>47480.678048780486</v>
      </c>
      <c r="F19" s="16">
        <f>SUM(F7:F18)</f>
        <v>40112.29</v>
      </c>
      <c r="G19" s="16">
        <f>SUM(G7:G18)</f>
        <v>20086.668999999998</v>
      </c>
    </row>
    <row r="21" spans="1:36" x14ac:dyDescent="0.25">
      <c r="A21" s="15" t="s">
        <v>21</v>
      </c>
    </row>
    <row r="23" spans="1:36" x14ac:dyDescent="0.25">
      <c r="B23" s="14"/>
      <c r="C23" s="35" t="s">
        <v>17</v>
      </c>
      <c r="D23" s="35"/>
      <c r="E23" s="35"/>
      <c r="F23" s="35"/>
      <c r="G23" s="35"/>
    </row>
    <row r="24" spans="1:36" x14ac:dyDescent="0.25">
      <c r="B24" s="33" t="s">
        <v>15</v>
      </c>
      <c r="C24" s="13" t="s">
        <v>27</v>
      </c>
      <c r="D24" s="13">
        <v>2023</v>
      </c>
      <c r="E24" s="13">
        <v>2024</v>
      </c>
      <c r="F24" s="13">
        <v>2025</v>
      </c>
      <c r="G24" s="13">
        <v>2026</v>
      </c>
    </row>
    <row r="25" spans="1:36" x14ac:dyDescent="0.25">
      <c r="B25" s="33"/>
      <c r="C25" s="12" t="s">
        <v>20</v>
      </c>
      <c r="D25" s="12" t="s">
        <v>20</v>
      </c>
      <c r="E25" s="12" t="s">
        <v>20</v>
      </c>
      <c r="F25" s="12" t="s">
        <v>20</v>
      </c>
      <c r="G25" s="12" t="s">
        <v>20</v>
      </c>
    </row>
    <row r="26" spans="1:36" x14ac:dyDescent="0.25">
      <c r="B26" s="11" t="s">
        <v>12</v>
      </c>
      <c r="C26" s="10">
        <f t="shared" ref="C26:C38" si="0">C7*0.79</f>
        <v>295.14823902439025</v>
      </c>
      <c r="D26" s="7">
        <f t="shared" ref="D26:F26" si="1">ROUND((D7*0.75),3)</f>
        <v>2762.3380000000002</v>
      </c>
      <c r="E26" s="6">
        <f t="shared" si="1"/>
        <v>3140.14</v>
      </c>
      <c r="F26" s="5">
        <f t="shared" si="1"/>
        <v>2699.1080000000002</v>
      </c>
      <c r="G26" s="4">
        <f>ROUND((G7*0.75),3)</f>
        <v>2086.1999999999998</v>
      </c>
      <c r="J26">
        <v>2025</v>
      </c>
      <c r="K26" s="38">
        <v>2699.1080000000002</v>
      </c>
      <c r="L26" s="38">
        <v>2475.84</v>
      </c>
      <c r="M26" s="38">
        <v>2943.9079999999999</v>
      </c>
      <c r="N26" s="38">
        <v>2398.9050000000002</v>
      </c>
      <c r="O26" s="38">
        <v>2470.268</v>
      </c>
      <c r="P26" s="38">
        <v>2413.0500000000002</v>
      </c>
      <c r="Q26" s="38">
        <v>2928.48</v>
      </c>
      <c r="R26" s="38">
        <v>2744.0030000000002</v>
      </c>
      <c r="S26" s="38">
        <v>2354.7449999999999</v>
      </c>
      <c r="T26" s="38">
        <v>2862.6149999999998</v>
      </c>
      <c r="U26" s="38">
        <v>1852.838</v>
      </c>
      <c r="V26" s="38">
        <v>1940.46</v>
      </c>
    </row>
    <row r="27" spans="1:36" x14ac:dyDescent="0.25">
      <c r="B27" s="11" t="s">
        <v>11</v>
      </c>
      <c r="C27" s="10">
        <f t="shared" si="0"/>
        <v>229.80868780487805</v>
      </c>
      <c r="D27" s="7">
        <f t="shared" ref="D27:F27" si="2">ROUND((D8*0.75),3)</f>
        <v>2612.7440000000001</v>
      </c>
      <c r="E27" s="6">
        <f t="shared" si="2"/>
        <v>3169.2220000000002</v>
      </c>
      <c r="F27" s="5">
        <f t="shared" si="2"/>
        <v>2475.84</v>
      </c>
      <c r="G27" s="4">
        <f t="shared" ref="G27:G37" si="3">ROUND((G8*0.75),3)</f>
        <v>2016.2249999999999</v>
      </c>
      <c r="J27">
        <v>2026</v>
      </c>
      <c r="K27" s="38">
        <v>2086.1999999999998</v>
      </c>
      <c r="L27" s="38">
        <v>2016.2249999999999</v>
      </c>
      <c r="M27" s="38">
        <v>1563.63</v>
      </c>
      <c r="N27" s="38">
        <v>2123.0250000000001</v>
      </c>
      <c r="O27" s="38">
        <v>2185.0940000000001</v>
      </c>
      <c r="P27" s="38">
        <v>2170.0349999999999</v>
      </c>
      <c r="Q27" s="38">
        <v>2920.7930000000001</v>
      </c>
      <c r="R27" s="38">
        <v>0</v>
      </c>
      <c r="S27" s="38">
        <v>0</v>
      </c>
      <c r="T27" s="38">
        <v>0</v>
      </c>
      <c r="U27" s="38">
        <v>0</v>
      </c>
      <c r="V27" s="38">
        <v>0</v>
      </c>
    </row>
    <row r="28" spans="1:36" x14ac:dyDescent="0.25">
      <c r="B28" s="11" t="s">
        <v>10</v>
      </c>
      <c r="C28" s="10">
        <f t="shared" si="0"/>
        <v>289.4062878048781</v>
      </c>
      <c r="D28" s="7">
        <f t="shared" ref="D28:F28" si="4">ROUND((D9*0.75),3)</f>
        <v>3000.1759999999999</v>
      </c>
      <c r="E28" s="6">
        <f t="shared" si="4"/>
        <v>2904.75</v>
      </c>
      <c r="F28" s="5">
        <f t="shared" si="4"/>
        <v>2943.9079999999999</v>
      </c>
      <c r="G28" s="4">
        <f t="shared" si="3"/>
        <v>1563.63</v>
      </c>
    </row>
    <row r="29" spans="1:36" x14ac:dyDescent="0.25">
      <c r="B29" s="11" t="s">
        <v>9</v>
      </c>
      <c r="C29" s="10">
        <f t="shared" si="0"/>
        <v>313.12517073170733</v>
      </c>
      <c r="D29" s="7">
        <f t="shared" ref="D29:F29" si="5">ROUND((D10*0.75),3)</f>
        <v>2462.491</v>
      </c>
      <c r="E29" s="6">
        <f t="shared" si="5"/>
        <v>3273.6590000000001</v>
      </c>
      <c r="F29" s="5">
        <f t="shared" si="5"/>
        <v>2398.9050000000002</v>
      </c>
      <c r="G29" s="4">
        <f t="shared" si="3"/>
        <v>2123.0250000000001</v>
      </c>
    </row>
    <row r="30" spans="1:36" x14ac:dyDescent="0.25">
      <c r="B30" s="11" t="s">
        <v>8</v>
      </c>
      <c r="C30" s="10">
        <f t="shared" si="0"/>
        <v>319.32300975609758</v>
      </c>
      <c r="D30" s="7">
        <f t="shared" ref="D30:F30" si="6">ROUND((D11*0.75),3)</f>
        <v>3329.1219999999998</v>
      </c>
      <c r="E30" s="6">
        <f t="shared" si="6"/>
        <v>3175.6129999999998</v>
      </c>
      <c r="F30" s="5">
        <f t="shared" si="6"/>
        <v>2470.268</v>
      </c>
      <c r="G30" s="4">
        <f t="shared" si="3"/>
        <v>2185.0940000000001</v>
      </c>
    </row>
    <row r="31" spans="1:36" x14ac:dyDescent="0.25">
      <c r="B31" s="11" t="s">
        <v>7</v>
      </c>
      <c r="C31" s="10">
        <f t="shared" si="0"/>
        <v>329.58029268292682</v>
      </c>
      <c r="D31" s="7">
        <f t="shared" ref="D31:F31" si="7">ROUND((D12*0.75),3)</f>
        <v>3153.0839999999998</v>
      </c>
      <c r="E31" s="6">
        <f t="shared" si="7"/>
        <v>2950.9459999999999</v>
      </c>
      <c r="F31" s="5">
        <f t="shared" si="7"/>
        <v>2413.0500000000002</v>
      </c>
      <c r="G31" s="4">
        <f t="shared" si="3"/>
        <v>2170.0349999999999</v>
      </c>
    </row>
    <row r="32" spans="1:36" ht="30" x14ac:dyDescent="0.25">
      <c r="B32" s="11" t="s">
        <v>6</v>
      </c>
      <c r="C32" s="10">
        <f t="shared" si="0"/>
        <v>374.04727317073184</v>
      </c>
      <c r="D32" s="7">
        <f t="shared" ref="D32:F32" si="8">ROUND((D13*0.75),3)</f>
        <v>3420.5010000000002</v>
      </c>
      <c r="E32" s="6">
        <f t="shared" si="8"/>
        <v>3134.0630000000001</v>
      </c>
      <c r="F32" s="5">
        <f t="shared" si="8"/>
        <v>2928.48</v>
      </c>
      <c r="G32" s="4">
        <f t="shared" si="3"/>
        <v>2920.7930000000001</v>
      </c>
      <c r="K32" s="39" t="s">
        <v>33</v>
      </c>
      <c r="L32" s="39" t="s">
        <v>34</v>
      </c>
      <c r="M32" s="39" t="s">
        <v>12</v>
      </c>
      <c r="N32" s="39"/>
      <c r="O32" s="39" t="s">
        <v>11</v>
      </c>
      <c r="P32" s="39"/>
      <c r="Q32" s="39" t="s">
        <v>10</v>
      </c>
      <c r="R32" s="39"/>
      <c r="S32" s="39" t="s">
        <v>9</v>
      </c>
      <c r="T32" s="39"/>
      <c r="U32" s="39" t="s">
        <v>8</v>
      </c>
      <c r="V32" s="39"/>
      <c r="W32" s="39" t="s">
        <v>7</v>
      </c>
      <c r="X32" s="39"/>
      <c r="Y32" s="39" t="s">
        <v>6</v>
      </c>
      <c r="Z32" s="39"/>
      <c r="AA32" s="39" t="s">
        <v>5</v>
      </c>
      <c r="AB32" s="39"/>
      <c r="AC32" s="39" t="s">
        <v>4</v>
      </c>
      <c r="AD32" s="39"/>
      <c r="AE32" s="39" t="s">
        <v>3</v>
      </c>
      <c r="AF32" s="39"/>
      <c r="AG32" s="39" t="s">
        <v>2</v>
      </c>
      <c r="AH32" s="39"/>
      <c r="AI32" s="39" t="s">
        <v>1</v>
      </c>
      <c r="AJ32" s="39"/>
    </row>
    <row r="33" spans="1:36" x14ac:dyDescent="0.25">
      <c r="B33" s="11" t="s">
        <v>5</v>
      </c>
      <c r="C33" s="10">
        <f t="shared" si="0"/>
        <v>352.40204390243912</v>
      </c>
      <c r="D33" s="7">
        <f t="shared" ref="D33:F33" si="9">ROUND((D14*0.75),3)</f>
        <v>3082.58</v>
      </c>
      <c r="E33" s="6">
        <f t="shared" si="9"/>
        <v>3317.1840000000002</v>
      </c>
      <c r="F33" s="5">
        <f t="shared" si="9"/>
        <v>2744.0030000000002</v>
      </c>
      <c r="G33" s="4">
        <f t="shared" si="3"/>
        <v>0</v>
      </c>
      <c r="K33" s="40"/>
      <c r="L33" s="40"/>
      <c r="M33" s="41">
        <v>2025</v>
      </c>
      <c r="N33" s="41">
        <v>2026</v>
      </c>
      <c r="O33" s="41">
        <v>2025</v>
      </c>
      <c r="P33" s="41">
        <v>2026</v>
      </c>
      <c r="Q33" s="41">
        <v>2025</v>
      </c>
      <c r="R33" s="41">
        <v>2026</v>
      </c>
      <c r="S33" s="41">
        <v>2025</v>
      </c>
      <c r="T33" s="41">
        <v>2026</v>
      </c>
      <c r="U33" s="41">
        <v>2025</v>
      </c>
      <c r="V33" s="41">
        <v>2026</v>
      </c>
      <c r="W33" s="41">
        <v>2025</v>
      </c>
      <c r="X33" s="41">
        <v>2026</v>
      </c>
      <c r="Y33" s="41">
        <v>2025</v>
      </c>
      <c r="Z33" s="41">
        <v>2026</v>
      </c>
      <c r="AA33" s="41">
        <v>2025</v>
      </c>
      <c r="AB33" s="41">
        <v>2026</v>
      </c>
      <c r="AC33" s="41">
        <v>2025</v>
      </c>
      <c r="AD33" s="41">
        <v>2026</v>
      </c>
      <c r="AE33" s="41">
        <v>2025</v>
      </c>
      <c r="AF33" s="41">
        <v>2026</v>
      </c>
      <c r="AG33" s="41">
        <v>2025</v>
      </c>
      <c r="AH33" s="41">
        <v>2026</v>
      </c>
      <c r="AI33" s="41">
        <v>2025</v>
      </c>
      <c r="AJ33" s="41">
        <v>2026</v>
      </c>
    </row>
    <row r="34" spans="1:36" ht="45" x14ac:dyDescent="0.25">
      <c r="B34" s="11" t="s">
        <v>4</v>
      </c>
      <c r="C34" s="10">
        <f t="shared" si="0"/>
        <v>302.17731219512194</v>
      </c>
      <c r="D34" s="7">
        <f t="shared" ref="D34:F34" si="10">ROUND((D15*0.75),3)</f>
        <v>3454.7669999999998</v>
      </c>
      <c r="E34" s="6">
        <f t="shared" si="10"/>
        <v>2587.902</v>
      </c>
      <c r="F34" s="5">
        <f t="shared" si="10"/>
        <v>2354.7449999999999</v>
      </c>
      <c r="G34" s="4">
        <f t="shared" si="3"/>
        <v>0</v>
      </c>
      <c r="K34" s="41" t="s">
        <v>35</v>
      </c>
      <c r="L34" s="40" t="s">
        <v>36</v>
      </c>
      <c r="M34" s="40">
        <v>3872.93</v>
      </c>
      <c r="N34" s="40">
        <v>2998.12</v>
      </c>
      <c r="O34" s="40">
        <v>3533.9</v>
      </c>
      <c r="P34" s="40">
        <v>2567.9899999999998</v>
      </c>
      <c r="Q34" s="40">
        <v>4488.67</v>
      </c>
      <c r="R34" s="40">
        <v>2574.14</v>
      </c>
      <c r="S34" s="40">
        <v>3648.81</v>
      </c>
      <c r="T34" s="40">
        <v>3022.72</v>
      </c>
      <c r="U34" s="40">
        <v>3728.09</v>
      </c>
      <c r="V34" s="40">
        <v>3117.61</v>
      </c>
      <c r="W34" s="40">
        <v>3808.49</v>
      </c>
      <c r="X34" s="40">
        <v>2816.58</v>
      </c>
      <c r="Y34" s="40">
        <v>3427.48</v>
      </c>
      <c r="Z34" s="40">
        <v>3248.36</v>
      </c>
      <c r="AA34" s="40">
        <v>2351.87</v>
      </c>
      <c r="AB34" s="40">
        <v>0</v>
      </c>
      <c r="AC34" s="40">
        <v>2185.77</v>
      </c>
      <c r="AD34" s="40">
        <v>0</v>
      </c>
      <c r="AE34" s="40">
        <v>2600.4499999999998</v>
      </c>
      <c r="AF34" s="40">
        <v>0</v>
      </c>
      <c r="AG34" s="40">
        <v>2192.4499999999998</v>
      </c>
      <c r="AH34" s="40">
        <v>0</v>
      </c>
      <c r="AI34" s="40">
        <v>2363.9299999999998</v>
      </c>
      <c r="AJ34" s="40">
        <v>0</v>
      </c>
    </row>
    <row r="35" spans="1:36" ht="45" x14ac:dyDescent="0.25">
      <c r="B35" s="11" t="s">
        <v>3</v>
      </c>
      <c r="C35" s="10">
        <f t="shared" si="0"/>
        <v>312.67968780487814</v>
      </c>
      <c r="D35" s="7">
        <f t="shared" ref="D35:F35" si="11">ROUND((D16*0.75),3)</f>
        <v>3490.9789999999998</v>
      </c>
      <c r="E35" s="6">
        <f t="shared" si="11"/>
        <v>3009.3040000000001</v>
      </c>
      <c r="F35" s="5">
        <f t="shared" si="11"/>
        <v>2862.6149999999998</v>
      </c>
      <c r="G35" s="4">
        <f t="shared" si="3"/>
        <v>0</v>
      </c>
      <c r="K35" s="41" t="s">
        <v>35</v>
      </c>
      <c r="L35" s="40" t="s">
        <v>37</v>
      </c>
      <c r="M35" s="40">
        <v>2699.11</v>
      </c>
      <c r="N35" s="40">
        <v>2086.1999999999998</v>
      </c>
      <c r="O35" s="40">
        <v>2475.84</v>
      </c>
      <c r="P35" s="40">
        <v>2016.23</v>
      </c>
      <c r="Q35" s="40">
        <v>2943.91</v>
      </c>
      <c r="R35" s="40">
        <v>1563.63</v>
      </c>
      <c r="S35" s="40">
        <v>2398.91</v>
      </c>
      <c r="T35" s="40">
        <v>2123.0300000000002</v>
      </c>
      <c r="U35" s="40">
        <v>2470.27</v>
      </c>
      <c r="V35" s="40">
        <v>2185.09</v>
      </c>
      <c r="W35" s="40">
        <v>2413.0500000000002</v>
      </c>
      <c r="X35" s="40">
        <v>2170.04</v>
      </c>
      <c r="Y35" s="40">
        <v>2928.48</v>
      </c>
      <c r="Z35" s="40">
        <v>2920.79</v>
      </c>
      <c r="AA35" s="40">
        <v>2744</v>
      </c>
      <c r="AB35" s="40">
        <v>0</v>
      </c>
      <c r="AC35" s="40">
        <v>2354.75</v>
      </c>
      <c r="AD35" s="40">
        <v>0</v>
      </c>
      <c r="AE35" s="40">
        <v>2862.62</v>
      </c>
      <c r="AF35" s="40">
        <v>0</v>
      </c>
      <c r="AG35" s="40">
        <v>1852.84</v>
      </c>
      <c r="AH35" s="40">
        <v>0</v>
      </c>
      <c r="AI35" s="40">
        <v>1940.46</v>
      </c>
      <c r="AJ35" s="40">
        <v>0</v>
      </c>
    </row>
    <row r="36" spans="1:36" x14ac:dyDescent="0.25">
      <c r="B36" s="11" t="s">
        <v>2</v>
      </c>
      <c r="C36" s="10">
        <f t="shared" si="0"/>
        <v>300.48709756097566</v>
      </c>
      <c r="D36" s="7">
        <f t="shared" ref="D36:F36" si="12">ROUND((D17*0.75),3)</f>
        <v>3134.1950000000002</v>
      </c>
      <c r="E36" s="6">
        <f t="shared" si="12"/>
        <v>2689.6759999999999</v>
      </c>
      <c r="F36" s="5">
        <f t="shared" si="12"/>
        <v>1852.838</v>
      </c>
      <c r="G36" s="4">
        <f t="shared" si="3"/>
        <v>0</v>
      </c>
    </row>
    <row r="37" spans="1:36" x14ac:dyDescent="0.25">
      <c r="B37" s="11" t="s">
        <v>1</v>
      </c>
      <c r="C37" s="10">
        <f t="shared" si="0"/>
        <v>305.46910731707322</v>
      </c>
      <c r="D37" s="7">
        <f t="shared" ref="D37:F37" si="13">ROUND((D18*0.75),3)</f>
        <v>2776.5479999999998</v>
      </c>
      <c r="E37" s="6">
        <f t="shared" si="13"/>
        <v>2258.049</v>
      </c>
      <c r="F37" s="5">
        <f t="shared" si="13"/>
        <v>1940.46</v>
      </c>
      <c r="G37" s="4">
        <f t="shared" si="3"/>
        <v>0</v>
      </c>
    </row>
    <row r="38" spans="1:36" x14ac:dyDescent="0.25">
      <c r="B38" s="3" t="s">
        <v>0</v>
      </c>
      <c r="C38" s="16">
        <f t="shared" si="0"/>
        <v>3723.6542097560978</v>
      </c>
      <c r="D38" s="16">
        <f>D19*0.79</f>
        <v>38635.766975609753</v>
      </c>
      <c r="E38" s="16">
        <f>E19*0.79</f>
        <v>37509.735658536585</v>
      </c>
      <c r="F38" s="16">
        <f>F19*0.79</f>
        <v>31688.709100000004</v>
      </c>
      <c r="G38" s="16">
        <f>G19*0.79</f>
        <v>15868.468509999999</v>
      </c>
    </row>
    <row r="40" spans="1:36" x14ac:dyDescent="0.25">
      <c r="A40" s="15" t="s">
        <v>19</v>
      </c>
    </row>
    <row r="42" spans="1:36" x14ac:dyDescent="0.25">
      <c r="B42" s="14"/>
      <c r="C42" s="35" t="s">
        <v>17</v>
      </c>
      <c r="D42" s="35"/>
      <c r="E42" s="35"/>
      <c r="F42" s="35"/>
      <c r="G42" s="35"/>
    </row>
    <row r="43" spans="1:36" x14ac:dyDescent="0.25">
      <c r="B43" s="33" t="s">
        <v>15</v>
      </c>
      <c r="C43" s="13">
        <v>2022</v>
      </c>
      <c r="D43" s="13">
        <v>2023</v>
      </c>
      <c r="E43" s="13">
        <v>2024</v>
      </c>
      <c r="F43" s="13">
        <v>2025</v>
      </c>
      <c r="G43" s="13">
        <v>2026</v>
      </c>
    </row>
    <row r="44" spans="1:36" ht="18" x14ac:dyDescent="0.25">
      <c r="B44" s="33"/>
      <c r="C44" s="12" t="s">
        <v>13</v>
      </c>
      <c r="D44" s="12" t="s">
        <v>13</v>
      </c>
      <c r="E44" s="12" t="s">
        <v>13</v>
      </c>
      <c r="F44" s="12" t="s">
        <v>13</v>
      </c>
      <c r="G44" s="12" t="s">
        <v>13</v>
      </c>
    </row>
    <row r="45" spans="1:36" x14ac:dyDescent="0.25">
      <c r="B45" s="11" t="s">
        <v>12</v>
      </c>
      <c r="C45" s="10">
        <f t="shared" ref="C45:C56" si="14">C26*2.3/1000</f>
        <v>0.67884094975609754</v>
      </c>
      <c r="D45" s="7">
        <f t="shared" ref="D45:F48" si="15">ROUND(D26*2.3/1000,3)</f>
        <v>6.3529999999999998</v>
      </c>
      <c r="E45" s="6">
        <f t="shared" si="15"/>
        <v>7.2220000000000004</v>
      </c>
      <c r="F45" s="5">
        <f t="shared" si="15"/>
        <v>6.2080000000000002</v>
      </c>
      <c r="G45" s="4">
        <f t="shared" ref="G45:G56" si="16">ROUND(G26*2.33969/1000,3)</f>
        <v>4.8810000000000002</v>
      </c>
    </row>
    <row r="46" spans="1:36" x14ac:dyDescent="0.25">
      <c r="B46" s="11" t="s">
        <v>11</v>
      </c>
      <c r="C46" s="10">
        <f t="shared" si="14"/>
        <v>0.52855998195121945</v>
      </c>
      <c r="D46" s="7">
        <f t="shared" si="15"/>
        <v>6.0090000000000003</v>
      </c>
      <c r="E46" s="6">
        <f t="shared" si="15"/>
        <v>7.2889999999999997</v>
      </c>
      <c r="F46" s="5">
        <f t="shared" si="15"/>
        <v>5.694</v>
      </c>
      <c r="G46" s="4">
        <f t="shared" si="16"/>
        <v>4.7169999999999996</v>
      </c>
    </row>
    <row r="47" spans="1:36" x14ac:dyDescent="0.25">
      <c r="B47" s="11" t="s">
        <v>10</v>
      </c>
      <c r="C47" s="10">
        <f t="shared" si="14"/>
        <v>0.66563446195121956</v>
      </c>
      <c r="D47" s="7">
        <f t="shared" si="15"/>
        <v>6.9</v>
      </c>
      <c r="E47" s="6">
        <f t="shared" si="15"/>
        <v>6.681</v>
      </c>
      <c r="F47" s="5">
        <f t="shared" si="15"/>
        <v>6.7709999999999999</v>
      </c>
      <c r="G47" s="4">
        <f t="shared" si="16"/>
        <v>3.6579999999999999</v>
      </c>
    </row>
    <row r="48" spans="1:36" x14ac:dyDescent="0.25">
      <c r="B48" s="11" t="s">
        <v>9</v>
      </c>
      <c r="C48" s="10">
        <f t="shared" si="14"/>
        <v>0.72018789268292671</v>
      </c>
      <c r="D48" s="7">
        <f t="shared" si="15"/>
        <v>5.6639999999999997</v>
      </c>
      <c r="E48" s="6">
        <f t="shared" si="15"/>
        <v>7.5289999999999999</v>
      </c>
      <c r="F48" s="5">
        <f t="shared" si="15"/>
        <v>5.5170000000000003</v>
      </c>
      <c r="G48" s="4">
        <f t="shared" si="16"/>
        <v>4.9669999999999996</v>
      </c>
    </row>
    <row r="49" spans="2:7" x14ac:dyDescent="0.25">
      <c r="B49" s="11" t="s">
        <v>8</v>
      </c>
      <c r="C49" s="10">
        <f t="shared" si="14"/>
        <v>0.73444292243902443</v>
      </c>
      <c r="D49" s="7">
        <f t="shared" ref="D49:E56" si="17">ROUND(D30*2.3/1000,3)</f>
        <v>7.657</v>
      </c>
      <c r="E49" s="6">
        <f t="shared" si="17"/>
        <v>7.3040000000000003</v>
      </c>
      <c r="F49" s="5">
        <f t="shared" ref="F49:F56" si="18">ROUND(F30*2.33969/1000,3)</f>
        <v>5.78</v>
      </c>
      <c r="G49" s="4">
        <f t="shared" si="16"/>
        <v>5.1120000000000001</v>
      </c>
    </row>
    <row r="50" spans="2:7" x14ac:dyDescent="0.25">
      <c r="B50" s="11" t="s">
        <v>7</v>
      </c>
      <c r="C50" s="10">
        <f t="shared" si="14"/>
        <v>0.75803467317073159</v>
      </c>
      <c r="D50" s="7">
        <f t="shared" si="17"/>
        <v>7.2519999999999998</v>
      </c>
      <c r="E50" s="6">
        <f t="shared" si="17"/>
        <v>6.7869999999999999</v>
      </c>
      <c r="F50" s="5">
        <f t="shared" si="18"/>
        <v>5.6459999999999999</v>
      </c>
      <c r="G50" s="4">
        <f t="shared" si="16"/>
        <v>5.077</v>
      </c>
    </row>
    <row r="51" spans="2:7" x14ac:dyDescent="0.25">
      <c r="B51" s="11" t="s">
        <v>6</v>
      </c>
      <c r="C51" s="10">
        <f t="shared" si="14"/>
        <v>0.86030872829268323</v>
      </c>
      <c r="D51" s="7">
        <f t="shared" si="17"/>
        <v>7.867</v>
      </c>
      <c r="E51" s="6">
        <f t="shared" si="17"/>
        <v>7.2080000000000002</v>
      </c>
      <c r="F51" s="5">
        <f t="shared" si="18"/>
        <v>6.8520000000000003</v>
      </c>
      <c r="G51" s="4">
        <f t="shared" si="16"/>
        <v>6.8339999999999996</v>
      </c>
    </row>
    <row r="52" spans="2:7" x14ac:dyDescent="0.25">
      <c r="B52" s="11" t="s">
        <v>5</v>
      </c>
      <c r="C52" s="10">
        <f t="shared" si="14"/>
        <v>0.81052470097560991</v>
      </c>
      <c r="D52" s="7">
        <f t="shared" si="17"/>
        <v>7.09</v>
      </c>
      <c r="E52" s="6">
        <f t="shared" si="17"/>
        <v>7.63</v>
      </c>
      <c r="F52" s="5">
        <f t="shared" si="18"/>
        <v>6.42</v>
      </c>
      <c r="G52" s="4">
        <f t="shared" si="16"/>
        <v>0</v>
      </c>
    </row>
    <row r="53" spans="2:7" x14ac:dyDescent="0.25">
      <c r="B53" s="11" t="s">
        <v>4</v>
      </c>
      <c r="C53" s="10">
        <f t="shared" si="14"/>
        <v>0.69500781804878042</v>
      </c>
      <c r="D53" s="7">
        <f t="shared" si="17"/>
        <v>7.9459999999999997</v>
      </c>
      <c r="E53" s="6">
        <f t="shared" si="17"/>
        <v>5.952</v>
      </c>
      <c r="F53" s="5">
        <f t="shared" si="18"/>
        <v>5.5090000000000003</v>
      </c>
      <c r="G53" s="4">
        <f t="shared" si="16"/>
        <v>0</v>
      </c>
    </row>
    <row r="54" spans="2:7" x14ac:dyDescent="0.25">
      <c r="B54" s="11" t="s">
        <v>3</v>
      </c>
      <c r="C54" s="10">
        <f t="shared" si="14"/>
        <v>0.7191632819512197</v>
      </c>
      <c r="D54" s="7">
        <f t="shared" si="17"/>
        <v>8.0289999999999999</v>
      </c>
      <c r="E54" s="6">
        <f t="shared" si="17"/>
        <v>6.9210000000000003</v>
      </c>
      <c r="F54" s="5">
        <f t="shared" si="18"/>
        <v>6.6980000000000004</v>
      </c>
      <c r="G54" s="4">
        <f t="shared" si="16"/>
        <v>0</v>
      </c>
    </row>
    <row r="55" spans="2:7" x14ac:dyDescent="0.25">
      <c r="B55" s="11" t="s">
        <v>2</v>
      </c>
      <c r="C55" s="10">
        <f t="shared" si="14"/>
        <v>0.69112032439024396</v>
      </c>
      <c r="D55" s="7">
        <f t="shared" si="17"/>
        <v>7.2089999999999996</v>
      </c>
      <c r="E55" s="6">
        <f t="shared" si="17"/>
        <v>6.1859999999999999</v>
      </c>
      <c r="F55" s="5">
        <f t="shared" si="18"/>
        <v>4.335</v>
      </c>
      <c r="G55" s="4">
        <f t="shared" si="16"/>
        <v>0</v>
      </c>
    </row>
    <row r="56" spans="2:7" x14ac:dyDescent="0.25">
      <c r="B56" s="11" t="s">
        <v>1</v>
      </c>
      <c r="C56" s="10">
        <f t="shared" si="14"/>
        <v>0.70257894682926836</v>
      </c>
      <c r="D56" s="7">
        <f t="shared" si="17"/>
        <v>6.3860000000000001</v>
      </c>
      <c r="E56" s="6">
        <f t="shared" si="17"/>
        <v>5.194</v>
      </c>
      <c r="F56" s="5">
        <f t="shared" si="18"/>
        <v>4.54</v>
      </c>
      <c r="G56" s="4">
        <f t="shared" si="16"/>
        <v>0</v>
      </c>
    </row>
    <row r="57" spans="2:7" x14ac:dyDescent="0.25">
      <c r="B57" s="3" t="s">
        <v>0</v>
      </c>
      <c r="C57" s="1">
        <f>SUM(C45:C56)</f>
        <v>8.5644046824390241</v>
      </c>
      <c r="D57" s="1">
        <f>SUM(D45:D56)</f>
        <v>84.361999999999995</v>
      </c>
      <c r="E57" s="1">
        <f>SUM(E45:E56)</f>
        <v>81.903000000000006</v>
      </c>
      <c r="F57" s="1">
        <f>SUM(F45:F56)</f>
        <v>69.970000000000013</v>
      </c>
      <c r="G57" s="1">
        <f>SUM(G45:G56)</f>
        <v>35.245999999999995</v>
      </c>
    </row>
  </sheetData>
  <mergeCells count="7">
    <mergeCell ref="B43:B44"/>
    <mergeCell ref="A1:M1"/>
    <mergeCell ref="B5:B6"/>
    <mergeCell ref="B24:B25"/>
    <mergeCell ref="C4:G4"/>
    <mergeCell ref="C23:G23"/>
    <mergeCell ref="C42:G42"/>
  </mergeCells>
  <pageMargins left="0.7" right="0.7" top="0.75" bottom="0.75" header="0.3" footer="0.3"/>
  <pageSetup paperSize="9"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LPG 14kg</vt:lpstr>
      <vt:lpstr>LPG 50kg</vt:lpstr>
      <vt:lpstr>Diesel</vt:lpstr>
      <vt:lpstr>Petrol</vt:lpstr>
      <vt:lpstr>Diesel!Print_Area</vt:lpstr>
      <vt:lpstr>'LPG 14kg'!Print_Area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</dc:creator>
  <cp:lastModifiedBy>INTERN</cp:lastModifiedBy>
  <dcterms:created xsi:type="dcterms:W3CDTF">2026-05-18T01:26:29Z</dcterms:created>
  <dcterms:modified xsi:type="dcterms:W3CDTF">2026-08-18T02:26:01Z</dcterms:modified>
</cp:coreProperties>
</file>